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4.72 ms^2" sheetId="2" r:id="rId5"/>
    <sheet state="visible" name="5.78ms^2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tc={19a173a5-6d4d-4e96-8caa-528972241c5a}</author>
    <author>tc={1bbe186d-4b10-4d89-9289-cada124f777a}</author>
    <author>tc={28cad570-eb22-4987-98f0-b3e52b10226f}</author>
    <author>tc={2e0a78e8-e109-4dd2-bdd3-0c440690748b}</author>
    <author>tc={3cfca773-98f7-40d2-a967-6140d93fe839}</author>
    <author>tc={9132e35c-e5e0-4f4e-9093-4014d234cf07}</author>
    <author>tc={cfd277b0-d625-4074-b4ed-5772b8fc6877}</author>
    <author>tc={ef9e96d1-e57c-4061-8036-64a38d0206fc}</author>
  </authors>
  <commentList>
    <comment authorId="0" xr:uid="{19a173a5-6d4d-4e96-8caa-528972241c5a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"11851.85185" is for sure wrong
</t>
      </text>
    </comment>
    <comment authorId="1" xr:uid="{1bbe186d-4b10-4d89-9289-cada124f777a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more plausible i guess? 
used F * S = W
but heres constant heat dissipation right
</t>
      </text>
    </comment>
    <comment authorId="2" xr:uid="{28cad570-eb22-4987-98f0-b3e52b10226f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 = 0.5 * m * v^2
m = (1200+1800)/9.81 = 305.81
e = 0.5 * 305.81 * 30 ^ 2 = 137614.5
137614.5 &gt; 126450 ?
wait um i realized theres the total weight
m = 2753.8/9.81 = 280.714
e = 0.5 * 280.714 * 30 ^2 = 126321.3
okay now it works out
</t>
      </text>
    </comment>
    <comment authorId="3" xr:uid="{2e0a78e8-e109-4dd2-bdd3-0c440690748b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references are weird. definitely wrong. its was reference the front stuff
</t>
      </text>
    </comment>
    <comment authorId="4" xr:uid="{3cfca773-98f7-40d2-a967-6140d93fe839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breaking power?
</t>
      </text>
    </comment>
    <comment authorId="5" xr:uid="{9132e35c-e5e0-4f4e-9093-4014d234cf07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
Reply:
	i just realized they are from tachyon. its the template: 
https://docs.google.com/spreadsheets/d/1740IMP72npP8d8RXEgTmuHjHMAVGbq9tUMgu0_a3j6A/edit?gid=0#gid=0
</t>
      </text>
    </comment>
    <comment authorId="6" xr:uid="{cfd277b0-d625-4074-b4ed-5772b8fc6877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but the sum of those 2 is larger than 2753.8?
Reply:
	those are from tachyon
</t>
      </text>
    </comment>
    <comment authorId="7" xr:uid="{ef9e96d1-e57c-4061-8036-64a38d0206fc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too light
</t>
      </text>
    </comment>
  </commentList>
</comments>
</file>

<file path=xl/sharedStrings.xml><?xml version="1.0" encoding="utf-8"?>
<sst xmlns="http://schemas.openxmlformats.org/spreadsheetml/2006/main" count="161" uniqueCount="80">
  <si>
    <t>acount for dynamic weight tranfer</t>
  </si>
  <si>
    <t>highest braking before front lockup</t>
  </si>
  <si>
    <t>1g slow down</t>
  </si>
  <si>
    <t>Down Hill Constant Speed</t>
  </si>
  <si>
    <t>This test doesn't work without convection numbers</t>
  </si>
  <si>
    <t>Static Weight Back (N)</t>
  </si>
  <si>
    <t>Weight Back (N)</t>
  </si>
  <si>
    <t>these r wrong</t>
  </si>
  <si>
    <t>Total Weight (N)</t>
  </si>
  <si>
    <t>from pvdr</t>
  </si>
  <si>
    <t>Weight Front (N)</t>
  </si>
  <si>
    <t>adding front and back</t>
  </si>
  <si>
    <t>Vehicle Speed (m/s)</t>
  </si>
  <si>
    <t>Total Mass (kg)</t>
  </si>
  <si>
    <t>Static Weight Front (N)</t>
  </si>
  <si>
    <t>30mph</t>
  </si>
  <si>
    <t>Vehicle KE (J)</t>
  </si>
  <si>
    <t>Vehicle KE (kJ)</t>
  </si>
  <si>
    <t>Hill Angle (deg)</t>
  </si>
  <si>
    <t>Deceleration (m/s^2)</t>
  </si>
  <si>
    <t>Specific Heat Ductile Iron (J/kg*K)</t>
  </si>
  <si>
    <t>distance (km)</t>
  </si>
  <si>
    <t>Dynamic Weight Back</t>
  </si>
  <si>
    <t>Total Braking Power (W)</t>
  </si>
  <si>
    <t>Total Braking Power (kW)</t>
  </si>
  <si>
    <t>Dynamic Weight Front</t>
  </si>
  <si>
    <t>KE/time</t>
  </si>
  <si>
    <t>Total Braking Force (N)</t>
  </si>
  <si>
    <t>Braking Power: one front rotor  (W)</t>
  </si>
  <si>
    <t>Front Rotor Mass (kg)</t>
  </si>
  <si>
    <t>aug18 update mass</t>
  </si>
  <si>
    <t>*prev 34.5 (69/2), but i think that's wrong</t>
  </si>
  <si>
    <t>updated mass</t>
  </si>
  <si>
    <t>Braking Force: one rear rotor  (N)</t>
  </si>
  <si>
    <t>Braking Power: one front rotor  (kW)</t>
  </si>
  <si>
    <t>*Find proper brake bias numbers</t>
  </si>
  <si>
    <t>Back Rotor Mass (kg)</t>
  </si>
  <si>
    <t>light. check mass</t>
  </si>
  <si>
    <t>6/11/26 updated mass</t>
  </si>
  <si>
    <t>Braking Power: one rear rotor  (W)</t>
  </si>
  <si>
    <t>Braking Power: one rear rotor  (kW)</t>
  </si>
  <si>
    <t>Braking Force: one front rotor  (N)</t>
  </si>
  <si>
    <t>Duration of Braking event (s)</t>
  </si>
  <si>
    <t>Ambient Temperature (K)</t>
  </si>
  <si>
    <t>Braking Force: one rear rotor  (kW)</t>
  </si>
  <si>
    <t>Front Rotor delta T (K)</t>
  </si>
  <si>
    <t>Braking Force: one front rotor  (kW)</t>
  </si>
  <si>
    <t>braking power front (W)</t>
  </si>
  <si>
    <t>Rear Rotor delta T (K)</t>
  </si>
  <si>
    <t>Brake Pad Area (in^2)</t>
  </si>
  <si>
    <t>Front Rotor T Final (K,F)</t>
  </si>
  <si>
    <t>*in^2, pad swept area on both sides combined</t>
  </si>
  <si>
    <t>should be F * S or P * T, not S * T</t>
  </si>
  <si>
    <t>Rear Rotor T Final (K,F)</t>
  </si>
  <si>
    <t>*m^2, pad swept area on both sides combined</t>
  </si>
  <si>
    <t>Heat Flux: one rear rotor (W/m^2)</t>
  </si>
  <si>
    <t>calc bias number</t>
  </si>
  <si>
    <t>derived from m^2,
more accurate</t>
  </si>
  <si>
    <t>static = incline induced load + braking induced load</t>
  </si>
  <si>
    <t>Dynamic Weight = Static Weight + Shifted Weight</t>
  </si>
  <si>
    <t>*div by 2 for each brake pad</t>
  </si>
  <si>
    <t>W static - Front</t>
  </si>
  <si>
    <t>W static - Rear</t>
  </si>
  <si>
    <t>1g breaking force total</t>
  </si>
  <si>
    <t>f=ma</t>
  </si>
  <si>
    <t>1g breaking force rear</t>
  </si>
  <si>
    <t>W incline</t>
  </si>
  <si>
    <t>0.8g breaking force rear</t>
  </si>
  <si>
    <t>W braking</t>
  </si>
  <si>
    <t>1g braking force front</t>
  </si>
  <si>
    <t>1g braking front / 2</t>
  </si>
  <si>
    <t>Total Front Dynamic Weight</t>
  </si>
  <si>
    <t>Total Rear Dynamic Weight</t>
  </si>
  <si>
    <t>Front Bias</t>
  </si>
  <si>
    <t>or percentage</t>
  </si>
  <si>
    <t>Rear Bias</t>
  </si>
  <si>
    <t>Center of mass height (m)</t>
  </si>
  <si>
    <t>18.9in</t>
  </si>
  <si>
    <t>Dist between front &amp; rear wheels (m)</t>
  </si>
  <si>
    <t>from vdr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</si>
</sst>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sz val="14.0"/>
      <color rgb="FF000000"/>
      <name val="'Trebuchet MS'"/>
    </font>
    <font>
      <color rgb="FF000000"/>
      <name val="Arial"/>
    </font>
    <font>
      <name val="Google Sans Text"/>
    </font>
    <font>
      <sz val="10.0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0" fillId="0" fontId="1" numFmtId="1" xfId="0" applyAlignment="1" applyFont="1" applyNumberFormat="1">
      <alignment readingOrder="0" shrinkToFit="0" wrapText="1"/>
    </xf>
    <xf borderId="0" fillId="0" fontId="1" numFmtId="2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1" fillId="0" fontId="1" numFmtId="1" xfId="0" applyAlignment="1" applyBorder="1" applyFont="1" applyNumberFormat="1">
      <alignment shrinkToFit="0" wrapText="1"/>
    </xf>
    <xf borderId="1" fillId="5" fontId="3" numFmtId="0" xfId="0" applyAlignment="1" applyBorder="1" applyFill="1" applyFont="1">
      <alignment horizontal="left" readingOrder="0" shrinkToFit="0" wrapText="1"/>
    </xf>
    <xf borderId="0" fillId="0" fontId="1" numFmtId="2" xfId="0" applyAlignment="1" applyFont="1" applyNumberFormat="1">
      <alignment shrinkToFit="0" wrapText="1"/>
    </xf>
    <xf borderId="0" fillId="0" fontId="4" numFmtId="0" xfId="0" applyAlignment="1" applyFont="1">
      <alignment readingOrder="0"/>
    </xf>
    <xf borderId="1" fillId="6" fontId="1" numFmtId="0" xfId="0" applyAlignment="1" applyBorder="1" applyFill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1" fillId="6" fontId="1" numFmtId="0" xfId="0" applyAlignment="1" applyBorder="1" applyFill="1" applyFont="1">
      <alignment shrinkToFit="0" wrapText="1"/>
    </xf>
    <xf borderId="0" fillId="8" fontId="1" numFmtId="0" xfId="0" applyAlignment="1" applyFill="1" applyFont="1">
      <alignment shrinkToFit="0" wrapText="1"/>
    </xf>
    <xf borderId="1" fillId="6" fontId="1" numFmtId="1" xfId="0" applyAlignment="1" applyBorder="1" applyFill="1" applyFont="1" applyNumberFormat="1">
      <alignment shrinkToFit="0" wrapText="1"/>
    </xf>
    <xf borderId="1" fillId="0" fontId="5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1" fillId="7" fontId="1" numFmtId="0" xfId="0" applyAlignment="1" applyBorder="1" applyFill="1" applyFont="1">
      <alignment shrinkToFit="0" wrapText="1"/>
    </xf>
    <xf borderId="0" fillId="8" fontId="1" numFmtId="0" xfId="0" applyAlignment="1" applyFill="1" applyFont="1">
      <alignment readingOrder="0" shrinkToFit="0" wrapText="1"/>
    </xf>
    <xf borderId="1" fillId="7" fontId="1" numFmtId="0" xfId="0" applyAlignment="1" applyBorder="1" applyFill="1" applyFont="1">
      <alignment shrinkToFit="0" wrapText="1"/>
    </xf>
    <xf borderId="0" fillId="0" fontId="1" numFmtId="3" xfId="0" applyAlignment="1" applyFont="1" applyNumberFormat="1">
      <alignment readingOrder="0" shrinkToFit="0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8" fontId="4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8" fontId="1" numFmtId="2" xfId="0" applyAlignment="1" applyFill="1" applyFont="1" applyNumberFormat="1">
      <alignment shrinkToFit="0" wrapText="1"/>
    </xf>
    <xf borderId="0" fillId="8" fontId="1" numFmtId="0" xfId="0" applyFill="1" applyFont="1"/>
    <xf borderId="0" fillId="8" fontId="1" numFmtId="0" xfId="0" applyAlignment="1" applyFill="1" applyFont="1">
      <alignment readingOrder="0"/>
    </xf>
    <xf borderId="0" fillId="8" fontId="1" numFmtId="2" xfId="0" applyFill="1" applyFont="1" applyNumberFormat="1"/>
    <xf borderId="0" fillId="8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vi Ding" id="{3d63fbda-6938-453c-aa4c-b3a1279823bb}" providerId="google-sheets"/>
  <x18tc:person displayName="Michaela Teo" id="{247b1352-fe42-46b9-b90f-372069893c51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4" dT="2026-07-09T04:33:52.00" personId="{3d63fbda-6938-453c-aa4c-b3a1279823bb}" id="{3cfca773-98f7-40d2-a967-6140d93fe839}" done="0">
    <x18tc:text xml:space="preserve">breaking power?</x18tc:text>
  </x18tc:threadedComment>
  <x18tc:threadedComment ref="B9" dT="2026-07-08T19:24:58.00" personId="{3d63fbda-6938-453c-aa4c-b3a1279823bb}" id="{28cad570-eb22-4987-98f0-b3e52b10226f}" done="1">
    <x18tc:text xml:space="preserve">e = 0.5 * m * v^2
m = (1200+1800)/9.81 = 305.81
e = 0.5 * 305.81 * 30 ^ 2 = 137614.5
137614.5 &gt; 126450 ?
wait um i realized theres the total weight
m = 2753.8/9.81 = 280.714
e = 0.5 * 280.714 * 30 ^2 = 126321.3
okay now it works out</x18tc:text>
  </x18tc:threadedComment>
  <x18tc:threadedComment ref="K17" dT="2026-07-09T00:40:36.00" personId="{3d63fbda-6938-453c-aa4c-b3a1279823bb}" id="{1bbe186d-4b10-4d89-9289-cada124f777a}" done="0">
    <x18tc:text xml:space="preserve">more plausible i guess? 
used F * S = W
but heres constant heat dissipation right</x18tc:text>
  </x18tc:threadedComment>
  <x18tc:threadedComment ref="I18" dT="2026-07-09T00:31:57.00" personId="{3d63fbda-6938-453c-aa4c-b3a1279823bb}" id="{2e0a78e8-e109-4dd2-bdd3-0c440690748b}" done="0">
    <x18tc:text xml:space="preserve">the references are weird. definitely wrong. its was reference the front stuff</x18tc:text>
  </x18tc:threadedComment>
  <x18tc:threadedComment ref="I4" dT="2026-07-08T23:05:52.00" personId="{3d63fbda-6938-453c-aa4c-b3a1279823bb}" id="{cfd277b0-d625-4074-b4ed-5772b8fc6877}" done="1">
    <x18tc:text xml:space="preserve">but the sum of those 2 is larger than 2753.8?</x18tc:text>
  </x18tc:threadedComment>
  <x18tc:threadedComment ref="I4" dT="2026-07-09T06:28:40.00" personId="{3d63fbda-6938-453c-aa4c-b3a1279823bb}" id="{113edbdd-aab6-4eb7-bb5e-6ecdb31cd113}" parentId="{cfd277b0-d625-4074-b4ed-5772b8fc6877}">
    <x18tc:text xml:space="preserve">those are from tachyon</x18tc:text>
  </x18tc:threadedComment>
  <x18tc:threadedComment ref="F10" dT="2026-06-12T04:57:29.00" personId="{247b1352-fe42-46b9-b90f-372069893c51}" id="{ef9e96d1-e57c-4061-8036-64a38d0206fc}" done="1">
    <x18tc:text xml:space="preserve">seems too light</x18tc:text>
  </x18tc:threadedComment>
  <x18tc:threadedComment ref="I17" dT="2026-07-09T00:32:16.00" personId="{3d63fbda-6938-453c-aa4c-b3a1279823bb}" id="{19a173a5-6d4d-4e96-8caa-528972241c5a}" done="1">
    <x18tc:text xml:space="preserve">"11851.85185" is for sure wrong</x18tc:text>
  </x18tc:threadedComment>
  <x18tc:threadedComment ref="B4" dT="2026-06-24T23:14:46.00" personId="{247b1352-fe42-46b9-b90f-372069893c51}" id="{9132e35c-e5e0-4f4e-9093-4014d234cf07}" done="0">
    <x18tc:text xml:space="preserve">update</x18tc:text>
  </x18tc:threadedComment>
  <x18tc:threadedComment ref="B4" dT="2026-07-09T05:57:07.00" personId="{3d63fbda-6938-453c-aa4c-b3a1279823bb}" id="{613a0d06-e24f-40f8-863f-68b863be00e3}" parentId="{9132e35c-e5e0-4f4e-9093-4014d234cf07}">
    <x18tc:text xml:space="preserve">i just realized they are from tachyon. its the template: 
https://docs.google.com/spreadsheets/d/1740IMP72npP8d8RXEgTmuHjHMAVGbq9tUMgu0_a3j6A/edit?gid=0#gid=0</x18tc:text>
    <x18tc:extLst>
      <ext uri="{F7C98A9C-CBB3-438F-8F68-D28B6AF4A901}">
        <xltc2:checksum/>
        <xltc2:hyperlink startIndex="59" length="100" url="https://docs.google.com/spreadsheets/d/1740IMP72npP8d8RXEgTmuHjHMAVGbq9tUMgu0_a3j6A/edit?gid=0#gid=0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9" max="9" width="18.88"/>
    <col customWidth="1" min="13" max="13" width="21.5"/>
    <col customWidth="1" min="14" max="14" width="40.25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/>
      <c r="B2" s="3"/>
      <c r="C2" s="4"/>
      <c r="D2" s="3"/>
      <c r="E2" s="3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6" t="s">
        <v>2</v>
      </c>
      <c r="B3" s="8"/>
      <c r="C3" s="5"/>
      <c r="D3" s="3"/>
      <c r="E3" s="3"/>
      <c r="F3" s="3"/>
      <c r="G3" s="3"/>
      <c r="H3" s="5"/>
      <c r="I3" s="1"/>
      <c r="J3" s="9" t="s">
        <v>3</v>
      </c>
      <c r="K3" s="10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1" t="s">
        <v>5</v>
      </c>
      <c r="B4" s="12">
        <f>F4-B5</f>
        <v>961.38</v>
      </c>
      <c r="C4" s="4" t="s">
        <v>7</v>
      </c>
      <c r="D4" s="3"/>
      <c r="E4" s="11" t="s">
        <v>8</v>
      </c>
      <c r="F4" s="11">
        <v>2756.61</v>
      </c>
      <c r="G4" s="3"/>
      <c r="H4" s="5"/>
      <c r="I4" s="4" t="s">
        <v>6</v>
      </c>
      <c r="J4" s="14">
        <f>(F4/2.3)*(0.8022*COS(RADIANS(J9)) - 0.473*SIN(RADIANS(J9)))</f>
        <v>781.9715013</v>
      </c>
      <c r="K4" s="1"/>
      <c r="L4" s="1"/>
      <c r="M4" s="4" t="s">
        <v>11</v>
      </c>
      <c r="N4" s="15"/>
      <c r="O4" s="1"/>
      <c r="Q4" s="1"/>
      <c r="R4" s="1"/>
      <c r="S4" s="1"/>
      <c r="T4" s="1"/>
      <c r="U4" s="1"/>
      <c r="V4" s="1"/>
      <c r="W4" s="1"/>
      <c r="X4" s="1"/>
      <c r="Y4" s="1"/>
    </row>
    <row r="5">
      <c r="A5" s="11" t="s">
        <v>14</v>
      </c>
      <c r="B5" s="15">
        <f>183*9.81</f>
        <v>1795.23</v>
      </c>
      <c r="C5" s="5"/>
      <c r="D5" s="3"/>
      <c r="E5" s="3"/>
      <c r="F5" s="3"/>
      <c r="G5" s="3"/>
      <c r="H5" s="5"/>
      <c r="I5" s="4" t="s">
        <v>10</v>
      </c>
      <c r="J5" s="14">
        <f>(F4/2.3)*(1.4978*COS(RADIANS(J9)) + 0.473*SIN(RADIANS(J9)))</f>
        <v>1880.709291</v>
      </c>
      <c r="L5" s="1"/>
      <c r="M5" s="18">
        <f>J4+J5</f>
        <v>2662.680792</v>
      </c>
      <c r="O5" s="1"/>
      <c r="Q5" s="1"/>
      <c r="R5" s="1"/>
      <c r="S5" s="1"/>
      <c r="T5" s="1"/>
      <c r="U5" s="1"/>
      <c r="V5" s="1"/>
      <c r="W5" s="1"/>
      <c r="X5" s="1"/>
      <c r="Y5" s="1"/>
    </row>
    <row r="6">
      <c r="A6" s="2" t="s">
        <v>22</v>
      </c>
      <c r="B6" s="4"/>
      <c r="C6" s="5"/>
      <c r="D6" s="3"/>
      <c r="E6" s="11" t="s">
        <v>13</v>
      </c>
      <c r="F6" s="8">
        <f>F4/9.8</f>
        <v>281.2867347</v>
      </c>
      <c r="G6" s="3"/>
      <c r="H6" s="5"/>
      <c r="I6" s="2" t="s">
        <v>22</v>
      </c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25</v>
      </c>
      <c r="B7" s="4"/>
      <c r="C7" s="5"/>
      <c r="D7" s="3"/>
      <c r="E7" s="3"/>
      <c r="F7" s="3"/>
      <c r="G7" s="3"/>
      <c r="H7" s="5"/>
      <c r="I7" s="2" t="s">
        <v>25</v>
      </c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1" t="s">
        <v>12</v>
      </c>
      <c r="B8" s="11">
        <v>30.0</v>
      </c>
      <c r="C8" s="5"/>
      <c r="D8" s="3"/>
      <c r="E8" s="17" t="s">
        <v>20</v>
      </c>
      <c r="F8" s="11">
        <v>450.0</v>
      </c>
      <c r="G8" s="3"/>
      <c r="H8" s="5"/>
      <c r="I8" s="4" t="s">
        <v>12</v>
      </c>
      <c r="J8" s="4">
        <v>25.0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1" t="s">
        <v>16</v>
      </c>
      <c r="B9" s="8">
        <f>(0.5*(F4/9.8)*B8^2)</f>
        <v>126579.0306</v>
      </c>
      <c r="C9" s="5"/>
      <c r="D9" s="3"/>
      <c r="E9" s="3"/>
      <c r="F9" s="3"/>
      <c r="G9" s="3"/>
      <c r="H9" s="5"/>
      <c r="I9" s="4" t="s">
        <v>18</v>
      </c>
      <c r="J9" s="4">
        <v>15.0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1" t="s">
        <v>19</v>
      </c>
      <c r="B10" s="11">
        <v>10.0</v>
      </c>
      <c r="C10" s="5"/>
      <c r="D10" s="3"/>
      <c r="E10" s="11" t="s">
        <v>29</v>
      </c>
      <c r="F10" s="19">
        <v>0.6396</v>
      </c>
      <c r="G10" s="4" t="s">
        <v>30</v>
      </c>
      <c r="H10" s="5"/>
      <c r="I10" s="4" t="s">
        <v>21</v>
      </c>
      <c r="J10" s="4">
        <v>2.0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1" t="s">
        <v>23</v>
      </c>
      <c r="B11" s="8">
        <f>B9/(B8/B10)</f>
        <v>42193.0102</v>
      </c>
      <c r="C11" s="5"/>
      <c r="D11" s="3"/>
      <c r="E11" s="3"/>
      <c r="F11" s="3"/>
      <c r="G11" s="3"/>
      <c r="H11" s="5"/>
      <c r="I11" s="4" t="s">
        <v>27</v>
      </c>
      <c r="J11" s="1">
        <f>F4*sin(radians(J9))</f>
        <v>713.4631679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1" t="s">
        <v>28</v>
      </c>
      <c r="B12" s="22">
        <f>($B$5/$F$4)*$B$11/2</f>
        <v>13739.0051</v>
      </c>
      <c r="C12" s="4"/>
      <c r="D12" s="3"/>
      <c r="E12" s="17" t="s">
        <v>36</v>
      </c>
      <c r="F12" s="11">
        <v>1.87</v>
      </c>
      <c r="G12" s="4" t="s">
        <v>38</v>
      </c>
      <c r="H12" s="5"/>
      <c r="I12" s="4" t="s">
        <v>33</v>
      </c>
      <c r="J12" s="23">
        <f>J11/N32</f>
        <v>129.7251779</v>
      </c>
      <c r="K12" s="1"/>
      <c r="L12" s="21" t="s">
        <v>35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1" t="s">
        <v>39</v>
      </c>
      <c r="B13" s="22">
        <f>(B4/F4)*B11</f>
        <v>14715</v>
      </c>
      <c r="C13" s="4"/>
      <c r="D13" s="3"/>
      <c r="E13" s="3"/>
      <c r="F13" s="3"/>
      <c r="G13" s="3"/>
      <c r="H13" s="5"/>
      <c r="I13" s="4" t="s">
        <v>41</v>
      </c>
      <c r="J13" s="23">
        <f>J11/N31</f>
        <v>583.73799</v>
      </c>
      <c r="K13" s="1"/>
      <c r="L13" s="1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1" t="s">
        <v>42</v>
      </c>
      <c r="B14" s="8">
        <f>B8/B10</f>
        <v>3</v>
      </c>
      <c r="C14" s="5"/>
      <c r="D14" s="3"/>
      <c r="E14" s="11" t="s">
        <v>43</v>
      </c>
      <c r="F14" s="11">
        <v>311.0</v>
      </c>
      <c r="G14" s="3"/>
      <c r="H14" s="5"/>
      <c r="I14" s="4" t="s">
        <v>44</v>
      </c>
      <c r="J14" s="1">
        <f>(J12*J10)/((J10*1000)/J8)</f>
        <v>3.243129447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1" t="s">
        <v>45</v>
      </c>
      <c r="B15" s="25">
        <f>(B12*$B$14)/($F$8*$F$10)</f>
        <v>143.2041391</v>
      </c>
      <c r="C15" s="5"/>
      <c r="D15" s="3"/>
      <c r="E15" s="3"/>
      <c r="F15" s="3"/>
      <c r="G15" s="3"/>
      <c r="H15" s="5"/>
      <c r="I15" s="4" t="s">
        <v>46</v>
      </c>
      <c r="J15" s="1">
        <f>(J13*J10)/((J10*1000)/J8)</f>
        <v>14.59344975</v>
      </c>
      <c r="K15" s="1"/>
      <c r="L15" s="1"/>
      <c r="M15" s="1"/>
      <c r="N15" s="4" t="s">
        <v>47</v>
      </c>
      <c r="O15" s="1">
        <f>J15*1000</f>
        <v>14593.44975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1" t="s">
        <v>48</v>
      </c>
      <c r="B16" s="8">
        <f>(B13*$B$14)/($F$8*$F$12)</f>
        <v>52.45989305</v>
      </c>
      <c r="C16" s="5"/>
      <c r="D16" s="3"/>
      <c r="E16" s="26" t="s">
        <v>49</v>
      </c>
      <c r="F16" s="26">
        <v>2.37</v>
      </c>
      <c r="G16" s="3"/>
      <c r="H16" s="5"/>
      <c r="I16" s="4" t="s">
        <v>42</v>
      </c>
      <c r="J16" s="1">
        <f>J10*1000/J8</f>
        <v>80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1" t="s">
        <v>50</v>
      </c>
      <c r="B17" s="8">
        <f>B15+F14</f>
        <v>454.2041391</v>
      </c>
      <c r="C17" s="28">
        <f t="shared" ref="C17:C18" si="1">B17*(9/5)-459.67</f>
        <v>357.8974503</v>
      </c>
      <c r="D17" s="3"/>
      <c r="E17" s="5"/>
      <c r="F17" s="4">
        <f>2*47</f>
        <v>94</v>
      </c>
      <c r="G17" s="4" t="s">
        <v>51</v>
      </c>
      <c r="H17" s="5"/>
      <c r="I17" s="4" t="s">
        <v>45</v>
      </c>
      <c r="J17" s="1">
        <f>(J16*1000*$J$10)/($F$8*$F$10)</f>
        <v>555.9029949</v>
      </c>
      <c r="K17" s="23">
        <f>(J10*1000*J15)/($F$8*$F$10)</f>
        <v>101.4067803</v>
      </c>
      <c r="L17" s="29" t="s">
        <v>52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1" t="s">
        <v>53</v>
      </c>
      <c r="B18" s="8">
        <f>B16+F14</f>
        <v>363.459893</v>
      </c>
      <c r="C18" s="28">
        <f t="shared" si="1"/>
        <v>194.5578075</v>
      </c>
      <c r="D18" s="3"/>
      <c r="E18" s="5"/>
      <c r="F18" s="4">
        <v>0.06</v>
      </c>
      <c r="G18" s="4" t="s">
        <v>54</v>
      </c>
      <c r="H18" s="5"/>
      <c r="I18" s="4" t="s">
        <v>48</v>
      </c>
      <c r="J18" s="1">
        <f>(J15*1000*$B$14)/($F$8*$F$10)</f>
        <v>152.1101704</v>
      </c>
      <c r="K18" s="23">
        <f>J15*J10*1000/F8/F12</f>
        <v>34.68437255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5"/>
      <c r="B19" s="5"/>
      <c r="C19" s="5"/>
      <c r="D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1" t="s">
        <v>55</v>
      </c>
      <c r="B20" s="8">
        <f>(B13)/(F17*(0.0254^2))</f>
        <v>242641.4427</v>
      </c>
      <c r="C20" s="31">
        <v>305000.0</v>
      </c>
      <c r="D20" s="5"/>
      <c r="H20" s="5"/>
      <c r="J20" s="1"/>
      <c r="K20" s="1"/>
      <c r="M20" s="32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5"/>
      <c r="B21" s="5">
        <f>B13/F18</f>
        <v>245250</v>
      </c>
      <c r="C21" s="4" t="s">
        <v>57</v>
      </c>
      <c r="D21" s="5"/>
      <c r="E21" s="5"/>
      <c r="F21" s="5"/>
      <c r="G21" s="5"/>
      <c r="H21" s="5"/>
      <c r="K21" s="1"/>
      <c r="L21" s="4" t="s">
        <v>58</v>
      </c>
      <c r="M21" s="23"/>
      <c r="N21" s="33" t="s">
        <v>59</v>
      </c>
      <c r="O21" s="29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L22" s="34"/>
      <c r="M22" s="29" t="s">
        <v>61</v>
      </c>
      <c r="N22" s="35">
        <f>J5</f>
        <v>1880.709291</v>
      </c>
      <c r="O22" s="29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L23" s="34"/>
      <c r="M23" s="29" t="s">
        <v>62</v>
      </c>
      <c r="N23" s="35">
        <f>J4</f>
        <v>781.9715013</v>
      </c>
      <c r="O23" s="29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4" t="s">
        <v>63</v>
      </c>
      <c r="B24" s="1">
        <f>F6*9.81</f>
        <v>2759.422867</v>
      </c>
      <c r="C24" s="4" t="s">
        <v>64</v>
      </c>
      <c r="D24" s="1"/>
      <c r="E24" s="1"/>
      <c r="F24" s="1"/>
      <c r="G24" s="1"/>
      <c r="H24" s="1"/>
      <c r="L24" s="34"/>
      <c r="M24" s="36"/>
      <c r="N24" s="36"/>
      <c r="O24" s="36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4" t="s">
        <v>65</v>
      </c>
      <c r="B25" s="1">
        <f>B24*B4/F4</f>
        <v>962.361</v>
      </c>
      <c r="C25" s="1"/>
      <c r="D25" s="1"/>
      <c r="E25" s="1"/>
      <c r="F25" s="1"/>
      <c r="G25" s="1"/>
      <c r="H25" s="1"/>
      <c r="L25" s="34"/>
      <c r="M25" s="37" t="s">
        <v>66</v>
      </c>
      <c r="N25" s="36">
        <f>F4*(N34/N35)*SIN(RADIANS(J9))</f>
        <v>148.9152732</v>
      </c>
      <c r="O25" s="29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4" t="s">
        <v>67</v>
      </c>
      <c r="B26" s="1">
        <f>B25*0.8</f>
        <v>769.8888</v>
      </c>
      <c r="C26" s="1"/>
      <c r="D26" s="1"/>
      <c r="E26" s="1"/>
      <c r="F26" s="1"/>
      <c r="G26" s="1"/>
      <c r="H26" s="1"/>
      <c r="L26" s="34"/>
      <c r="M26" s="29" t="s">
        <v>68</v>
      </c>
      <c r="N26" s="36">
        <f>J11*N34/N35</f>
        <v>148.9152732</v>
      </c>
      <c r="O26" s="29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4" t="s">
        <v>69</v>
      </c>
      <c r="B27" s="1">
        <f>B24-B25</f>
        <v>1797.061867</v>
      </c>
      <c r="C27" s="1"/>
      <c r="D27" s="1"/>
      <c r="E27" s="1"/>
      <c r="F27" s="1"/>
      <c r="G27" s="1"/>
      <c r="H27" s="1"/>
      <c r="L27" s="34"/>
      <c r="M27" s="36"/>
      <c r="N27" s="36"/>
      <c r="O27" s="36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4" t="s">
        <v>70</v>
      </c>
      <c r="B28" s="1">
        <f>B27/2</f>
        <v>898.5309337</v>
      </c>
      <c r="C28" s="1"/>
      <c r="D28" s="1"/>
      <c r="E28" s="1"/>
      <c r="F28" s="1"/>
      <c r="G28" s="1"/>
      <c r="H28" s="1"/>
      <c r="L28" s="1"/>
      <c r="M28" s="37" t="s">
        <v>71</v>
      </c>
      <c r="N28" s="35">
        <f>N22+N25+N26</f>
        <v>2178.539837</v>
      </c>
      <c r="O28" s="23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D29" s="1"/>
      <c r="E29" s="1"/>
      <c r="F29" s="1"/>
      <c r="G29" s="1"/>
      <c r="H29" s="1"/>
      <c r="I29" s="1"/>
      <c r="J29" s="1"/>
      <c r="K29" s="1"/>
      <c r="L29" s="1"/>
      <c r="M29" s="37" t="s">
        <v>72</v>
      </c>
      <c r="N29" s="38">
        <f>N23-N25-N26</f>
        <v>484.1409548</v>
      </c>
      <c r="O29" s="36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D30" s="1"/>
      <c r="E30" s="1"/>
      <c r="F30" s="1"/>
      <c r="G30" s="1"/>
      <c r="H30" s="1"/>
      <c r="I30" s="1"/>
      <c r="J30" s="1"/>
      <c r="K30" s="1"/>
      <c r="L30" s="1"/>
      <c r="M30" s="36"/>
      <c r="N30" s="36"/>
      <c r="O30" s="36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M31" s="37" t="s">
        <v>73</v>
      </c>
      <c r="N31" s="36">
        <f>1/(N28/(N28+N29))</f>
        <v>1.222231858</v>
      </c>
      <c r="O31" s="36"/>
      <c r="P31" s="29" t="s">
        <v>74</v>
      </c>
      <c r="Q31" s="35">
        <f>1/N31*100</f>
        <v>81.81753681</v>
      </c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7" t="s">
        <v>75</v>
      </c>
      <c r="N32" s="36">
        <f>1/(N29/(N28+N29))</f>
        <v>5.499804892</v>
      </c>
      <c r="O32" s="36"/>
      <c r="P32" s="23"/>
      <c r="Q32" s="35">
        <f>100/N32</f>
        <v>18.18246319</v>
      </c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6"/>
      <c r="N33" s="36"/>
      <c r="O33" s="36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9" t="s">
        <v>76</v>
      </c>
      <c r="N34" s="29">
        <v>0.48006</v>
      </c>
      <c r="O34" s="37" t="s">
        <v>77</v>
      </c>
      <c r="P34" s="4">
        <v>0.48006</v>
      </c>
      <c r="Q34" s="1"/>
      <c r="R34" s="1"/>
      <c r="S34" s="1"/>
      <c r="T34" s="1"/>
      <c r="U34" s="1"/>
      <c r="V34" s="1"/>
      <c r="W34" s="1"/>
      <c r="X34" s="1"/>
      <c r="Y34" s="1"/>
    </row>
    <row r="35" ht="39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9" t="s">
        <v>78</v>
      </c>
      <c r="N35" s="39">
        <v>2.3</v>
      </c>
      <c r="O35" s="29" t="s">
        <v>79</v>
      </c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2">
    <mergeCell ref="M20:O20"/>
    <mergeCell ref="P34:P3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1"/>
      <c r="H3" s="1"/>
      <c r="I3" s="1"/>
      <c r="J3" s="9" t="s">
        <v>3</v>
      </c>
      <c r="K3" s="10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6</v>
      </c>
      <c r="B4" s="12">
        <f>F4-B5</f>
        <v>681.8</v>
      </c>
      <c r="C4" s="4" t="s">
        <v>9</v>
      </c>
      <c r="E4" s="11" t="s">
        <v>8</v>
      </c>
      <c r="F4" s="11">
        <f>281*9.8</f>
        <v>2753.8</v>
      </c>
      <c r="H4" s="1"/>
      <c r="I4" s="4" t="s">
        <v>6</v>
      </c>
      <c r="J4" s="13">
        <v>2896.462737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 t="s">
        <v>10</v>
      </c>
      <c r="B5" s="12">
        <v>2072.0</v>
      </c>
      <c r="C5" s="1"/>
      <c r="H5" s="1"/>
      <c r="I5" s="4" t="s">
        <v>10</v>
      </c>
      <c r="J5" s="13">
        <v>1586.707263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 t="s">
        <v>12</v>
      </c>
      <c r="B6" s="11">
        <v>13.4</v>
      </c>
      <c r="C6" s="4" t="s">
        <v>15</v>
      </c>
      <c r="E6" s="11" t="s">
        <v>13</v>
      </c>
      <c r="F6" s="16">
        <f>F4/9.8</f>
        <v>281</v>
      </c>
      <c r="H6" s="1"/>
      <c r="I6" s="4" t="s">
        <v>12</v>
      </c>
      <c r="J6" s="4">
        <v>30.0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 t="s">
        <v>16</v>
      </c>
      <c r="B7" s="16">
        <f>(0.5*(F4/9.8)*B6^2)</f>
        <v>25228.18</v>
      </c>
      <c r="C7" s="1"/>
      <c r="H7" s="1"/>
      <c r="I7" s="4" t="s">
        <v>18</v>
      </c>
      <c r="J7" s="4">
        <v>3.5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 t="s">
        <v>19</v>
      </c>
      <c r="B8" s="11">
        <v>4.72</v>
      </c>
      <c r="C8" s="1"/>
      <c r="E8" s="17" t="s">
        <v>20</v>
      </c>
      <c r="F8" s="11">
        <v>450.0</v>
      </c>
      <c r="H8" s="1"/>
      <c r="I8" s="4" t="s">
        <v>21</v>
      </c>
      <c r="J8" s="4">
        <v>8.0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 t="s">
        <v>23</v>
      </c>
      <c r="B9" s="16">
        <f>B7/(B6/B8)</f>
        <v>8886.344</v>
      </c>
      <c r="C9" s="4" t="s">
        <v>26</v>
      </c>
      <c r="H9" s="1"/>
      <c r="I9" s="4" t="s">
        <v>27</v>
      </c>
      <c r="J9" s="1">
        <f>F4*sin(radians(3.5))</f>
        <v>168.1154682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28</v>
      </c>
      <c r="B10" s="20">
        <f>($B$5/$F$4)*$B$9/2</f>
        <v>3343.108571</v>
      </c>
      <c r="C10" s="4" t="s">
        <v>31</v>
      </c>
      <c r="E10" s="11" t="s">
        <v>29</v>
      </c>
      <c r="F10" s="11">
        <v>0.74</v>
      </c>
      <c r="G10" s="4" t="s">
        <v>32</v>
      </c>
      <c r="H10" s="1"/>
      <c r="I10" s="4" t="s">
        <v>33</v>
      </c>
      <c r="J10" s="1">
        <f>J9/1.594069842</f>
        <v>105.4630505</v>
      </c>
      <c r="K10" s="4"/>
      <c r="L10" s="21" t="s">
        <v>35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 t="s">
        <v>39</v>
      </c>
      <c r="B11" s="24">
        <f>(B4/F4)*B9</f>
        <v>2200.126857</v>
      </c>
      <c r="C11" s="4"/>
      <c r="H11" s="1"/>
      <c r="I11" s="4" t="s">
        <v>41</v>
      </c>
      <c r="J11" s="1">
        <f>J9/2.683303761</f>
        <v>62.65241775</v>
      </c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 t="s">
        <v>42</v>
      </c>
      <c r="B12" s="7">
        <f>B6/B8</f>
        <v>2.838983051</v>
      </c>
      <c r="C12" s="1"/>
      <c r="E12" s="17" t="s">
        <v>36</v>
      </c>
      <c r="F12" s="11">
        <v>2.01395</v>
      </c>
      <c r="G12" s="4" t="s">
        <v>38</v>
      </c>
      <c r="H12" s="1"/>
      <c r="I12" s="4" t="s">
        <v>44</v>
      </c>
      <c r="J12" s="1">
        <f>(J10*J8)/((J8*1000)/J6)</f>
        <v>3.163891514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 t="s">
        <v>45</v>
      </c>
      <c r="B13" s="27">
        <f>(B10*$B$12)/($F$8*$F$10)</f>
        <v>28.5015873</v>
      </c>
      <c r="C13" s="1"/>
      <c r="H13" s="1"/>
      <c r="I13" s="4" t="s">
        <v>46</v>
      </c>
      <c r="J13" s="1">
        <f>(J11*J8)/((J8*1000)/J6)</f>
        <v>1.879572532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 t="s">
        <v>48</v>
      </c>
      <c r="B14" s="7">
        <f>(B11*$B$12)/($F$8*$F$12)</f>
        <v>6.892064359</v>
      </c>
      <c r="C14" s="1"/>
      <c r="E14" s="11" t="s">
        <v>43</v>
      </c>
      <c r="F14" s="11">
        <v>311.0</v>
      </c>
      <c r="H14" s="1"/>
      <c r="I14" s="4" t="s">
        <v>42</v>
      </c>
      <c r="J14" s="1">
        <f>J8*1000/J6</f>
        <v>266.6666667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 t="s">
        <v>50</v>
      </c>
      <c r="B15" s="7">
        <f>B13+F14</f>
        <v>339.5015873</v>
      </c>
      <c r="C15" s="30">
        <f t="shared" ref="C15:C16" si="1">B15*(9/5)-459.67</f>
        <v>151.4328571</v>
      </c>
      <c r="H15" s="1"/>
      <c r="I15" s="4" t="s">
        <v>45</v>
      </c>
      <c r="J15" s="1">
        <f>(J11*1000*$J$8)/($F$8*$F$10)</f>
        <v>1505.163189</v>
      </c>
      <c r="K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 t="s">
        <v>53</v>
      </c>
      <c r="B16" s="7">
        <f>B14+F14</f>
        <v>317.8920644</v>
      </c>
      <c r="C16" s="30">
        <f t="shared" si="1"/>
        <v>112.5357158</v>
      </c>
      <c r="E16" s="26" t="s">
        <v>49</v>
      </c>
      <c r="F16" s="26">
        <v>2.37</v>
      </c>
      <c r="H16" s="1"/>
      <c r="I16" s="4" t="s">
        <v>48</v>
      </c>
      <c r="J16" s="1">
        <f>(J13*1000*$B$12)/($F$8*$F$10)</f>
        <v>16.02424793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 t="s">
        <v>55</v>
      </c>
      <c r="B18" s="7">
        <f>(B11)/(2*F16*(0.0254^2))</f>
        <v>719452.2044</v>
      </c>
      <c r="C18" s="4" t="s">
        <v>60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K15:K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/>
      <c r="C3" s="1"/>
      <c r="H3" s="1"/>
      <c r="I3" s="1"/>
      <c r="J3" s="9" t="s">
        <v>3</v>
      </c>
      <c r="K3" s="10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6</v>
      </c>
      <c r="B4" s="12">
        <v>1200.0</v>
      </c>
      <c r="C4" s="4" t="s">
        <v>7</v>
      </c>
      <c r="E4" s="11" t="s">
        <v>8</v>
      </c>
      <c r="F4" s="11">
        <f>281*9.8</f>
        <v>2753.8</v>
      </c>
      <c r="H4" s="1"/>
      <c r="I4" s="4" t="s">
        <v>6</v>
      </c>
      <c r="J4" s="13">
        <v>2896.462737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 t="s">
        <v>10</v>
      </c>
      <c r="B5" s="12">
        <v>1800.0</v>
      </c>
      <c r="C5" s="1"/>
      <c r="H5" s="1"/>
      <c r="I5" s="4" t="s">
        <v>10</v>
      </c>
      <c r="J5" s="13">
        <v>1586.707263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 t="s">
        <v>12</v>
      </c>
      <c r="B6" s="11">
        <v>30.0</v>
      </c>
      <c r="C6" s="1"/>
      <c r="E6" s="11" t="s">
        <v>13</v>
      </c>
      <c r="F6" s="16">
        <f>F4/9.8</f>
        <v>281</v>
      </c>
      <c r="H6" s="1"/>
      <c r="I6" s="4" t="s">
        <v>12</v>
      </c>
      <c r="J6" s="4">
        <v>30.0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 t="s">
        <v>17</v>
      </c>
      <c r="B7" s="16">
        <f>(0.5*(F4/9.8)*B6^2)/1000</f>
        <v>126.45</v>
      </c>
      <c r="C7" s="1"/>
      <c r="H7" s="1"/>
      <c r="I7" s="4" t="s">
        <v>18</v>
      </c>
      <c r="J7" s="4">
        <v>3.5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 t="s">
        <v>19</v>
      </c>
      <c r="B8" s="11">
        <v>10.0</v>
      </c>
      <c r="C8" s="1"/>
      <c r="E8" s="17" t="s">
        <v>20</v>
      </c>
      <c r="F8" s="11">
        <v>450.0</v>
      </c>
      <c r="H8" s="1"/>
      <c r="I8" s="4" t="s">
        <v>21</v>
      </c>
      <c r="J8" s="4">
        <v>8.0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 t="s">
        <v>24</v>
      </c>
      <c r="B9" s="16">
        <f>B7/(B6/B8)</f>
        <v>42.15</v>
      </c>
      <c r="C9" s="1"/>
      <c r="H9" s="1"/>
      <c r="I9" s="4" t="s">
        <v>27</v>
      </c>
      <c r="J9" s="1">
        <f>F4*sin(radians(3.5))</f>
        <v>168.1154682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34</v>
      </c>
      <c r="B10" s="20">
        <f>($B$5/$F$4)*$B$9/2</f>
        <v>13.7755102</v>
      </c>
      <c r="C10" s="4" t="s">
        <v>31</v>
      </c>
      <c r="E10" s="11" t="s">
        <v>29</v>
      </c>
      <c r="F10" s="11">
        <v>0.4</v>
      </c>
      <c r="G10" s="4" t="s">
        <v>37</v>
      </c>
      <c r="H10" s="1"/>
      <c r="I10" s="4" t="s">
        <v>33</v>
      </c>
      <c r="J10" s="1">
        <f>J9/4</f>
        <v>42.02886704</v>
      </c>
      <c r="K10" s="1"/>
      <c r="L10" s="21" t="s">
        <v>35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 t="s">
        <v>40</v>
      </c>
      <c r="B11" s="24">
        <f>(B4/F4)*B9</f>
        <v>18.36734694</v>
      </c>
      <c r="C11" s="4"/>
      <c r="H11" s="1"/>
      <c r="I11" s="4" t="s">
        <v>41</v>
      </c>
      <c r="J11" s="1">
        <f>J9/4</f>
        <v>42.02886704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 t="s">
        <v>42</v>
      </c>
      <c r="B12" s="7">
        <f>B6/B8</f>
        <v>3</v>
      </c>
      <c r="C12" s="1"/>
      <c r="E12" s="17" t="s">
        <v>36</v>
      </c>
      <c r="F12" s="11">
        <v>2.01395</v>
      </c>
      <c r="G12" s="4" t="s">
        <v>38</v>
      </c>
      <c r="H12" s="1"/>
      <c r="I12" s="4" t="s">
        <v>44</v>
      </c>
      <c r="J12" s="1">
        <f>(J10*J8)/((J8*1000)/J6)</f>
        <v>1.260866011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 t="s">
        <v>45</v>
      </c>
      <c r="B13" s="27">
        <f>(B10*1000*$B$12)/($F$8*$F$10)</f>
        <v>229.5918367</v>
      </c>
      <c r="C13" s="1"/>
      <c r="H13" s="1"/>
      <c r="I13" s="4" t="s">
        <v>46</v>
      </c>
      <c r="J13" s="1">
        <f>(J11*J8)/((J8*1000)/J6)</f>
        <v>1.260866011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 t="s">
        <v>48</v>
      </c>
      <c r="B14" s="7">
        <f>(B11*1000*$B$12)/($F$8*$F$12)</f>
        <v>60.80040696</v>
      </c>
      <c r="C14" s="1"/>
      <c r="E14" s="11" t="s">
        <v>43</v>
      </c>
      <c r="F14" s="11">
        <v>311.0</v>
      </c>
      <c r="H14" s="1"/>
      <c r="I14" s="4" t="s">
        <v>42</v>
      </c>
      <c r="J14" s="1">
        <f>J8*1000/J6</f>
        <v>266.6666667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 t="s">
        <v>50</v>
      </c>
      <c r="B15" s="7">
        <f>B13+F14</f>
        <v>540.5918367</v>
      </c>
      <c r="C15" s="30">
        <f t="shared" ref="C15:C16" si="1">B15*(9/5)-459.67</f>
        <v>513.3953061</v>
      </c>
      <c r="H15" s="1"/>
      <c r="I15" s="4" t="s">
        <v>45</v>
      </c>
      <c r="J15" s="1">
        <f>(J14*1000*$J$8)/($F$8*$F$10)</f>
        <v>11851.85185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 t="s">
        <v>53</v>
      </c>
      <c r="B16" s="7">
        <f>B14+F14</f>
        <v>371.800407</v>
      </c>
      <c r="C16" s="30">
        <f t="shared" si="1"/>
        <v>209.5707325</v>
      </c>
      <c r="E16" s="26" t="s">
        <v>49</v>
      </c>
      <c r="F16" s="26">
        <v>2.37</v>
      </c>
      <c r="H16" s="1"/>
      <c r="I16" s="4" t="s">
        <v>48</v>
      </c>
      <c r="J16" s="1">
        <f>(J13*1000*$B$12)/($F$8*$F$10)</f>
        <v>21.01443352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 t="s">
        <v>55</v>
      </c>
      <c r="B18" s="7">
        <f>(B11*1000)/(2*F16*(0.0254^2))</f>
        <v>6006211.961</v>
      </c>
      <c r="C18" s="4" t="s">
        <v>60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