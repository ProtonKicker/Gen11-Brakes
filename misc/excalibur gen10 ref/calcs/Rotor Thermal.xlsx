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Parameters" sheetId="1" r:id="rId5"/>
    <sheet state="visible" name="Maximum Speed Emergency Stop" sheetId="2" r:id="rId6"/>
    <sheet state="visible" name="Level Ground Repeated Stops" sheetId="3" r:id="rId7"/>
    <sheet state="visible" name="Downhill Grad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tc={5e2fdf78-70b8-47a6-91ab-d96db9fb3b14}</author>
  </authors>
  <commentList>
    <comment authorId="0" xr:uid="{5e2fdf78-70b8-47a6-91ab-d96db9fb3b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organization and numbers
</t>
      </text>
    </comment>
  </commentList>
</comments>
</file>

<file path=xl/sharedStrings.xml><?xml version="1.0" encoding="utf-8"?>
<sst xmlns="http://schemas.openxmlformats.org/spreadsheetml/2006/main" count="65" uniqueCount="63">
  <si>
    <t>Input Parameters</t>
  </si>
  <si>
    <t xml:space="preserve">Assumptions: </t>
  </si>
  <si>
    <t>Constants</t>
  </si>
  <si>
    <t>Total weight (N)</t>
  </si>
  <si>
    <t>g [m/s^2]</t>
  </si>
  <si>
    <t>Vehicle</t>
  </si>
  <si>
    <t>Vehicle Mass [kg]</t>
  </si>
  <si>
    <t>Mass Fraction at Corner</t>
  </si>
  <si>
    <t>Brake Geometry</t>
  </si>
  <si>
    <t>Rotor Outer Radius [m]</t>
  </si>
  <si>
    <t>Rotational Moment of Inertia [m^4]</t>
  </si>
  <si>
    <t>Level Ground</t>
  </si>
  <si>
    <t>Rotor Inner Radius [m]</t>
  </si>
  <si>
    <t>Volume [m^3]</t>
  </si>
  <si>
    <t>Downhill at constant speed</t>
  </si>
  <si>
    <t>Total mass (kg)</t>
  </si>
  <si>
    <t>Weight Fraction Front</t>
  </si>
  <si>
    <t>Rotor Thickness [m]</t>
  </si>
  <si>
    <t>Surface Area [m^2]</t>
  </si>
  <si>
    <t>Weight: back (N)</t>
  </si>
  <si>
    <t>Front rotor mass (kg)</t>
  </si>
  <si>
    <t>Average Convective Heat Transfer Coefficient [W/m^2K]</t>
  </si>
  <si>
    <t>Material Properties at 300K</t>
  </si>
  <si>
    <t>Used in Analysis</t>
  </si>
  <si>
    <t>Weight Fraction Rear</t>
  </si>
  <si>
    <t>Cast Iron</t>
  </si>
  <si>
    <t>Thermal Conductivity (k) [W/mK]</t>
  </si>
  <si>
    <t>Weight: front (N)</t>
  </si>
  <si>
    <t>Specific Heat Capacity (c_p) [J/kgK]</t>
  </si>
  <si>
    <t>alpha [m^2/s]</t>
  </si>
  <si>
    <t>Mass Density (ρ) [kg/m^3]</t>
  </si>
  <si>
    <t>Emissivity</t>
  </si>
  <si>
    <t>Initial and Ambient Conditions</t>
  </si>
  <si>
    <t>Rear rotor mass (kg)</t>
  </si>
  <si>
    <t>Environment Temperature [K]</t>
  </si>
  <si>
    <t>Weight Fraction Right</t>
  </si>
  <si>
    <t>Initial Rotor Temperature [K]</t>
  </si>
  <si>
    <t>Duration of braking (s)</t>
  </si>
  <si>
    <t>maybe should be for a shorter distance?</t>
  </si>
  <si>
    <t>Material specific heat (J/kg*K)</t>
  </si>
  <si>
    <t>Weight Fraction Left</t>
  </si>
  <si>
    <t>Distance (km)</t>
  </si>
  <si>
    <t>Vehicle speed (m/s)</t>
  </si>
  <si>
    <t>Total braking force (N)</t>
  </si>
  <si>
    <t>Vehicle KE (kJ)</t>
  </si>
  <si>
    <t>braking power (kW)</t>
  </si>
  <si>
    <t>Braking force: one front rotor (N)</t>
  </si>
  <si>
    <t>Ambient temperature (K)</t>
  </si>
  <si>
    <t>Braking power: front right rotor (kW)</t>
  </si>
  <si>
    <t>Braking force: one rear rotor (N)</t>
  </si>
  <si>
    <t>Deceleration (m/s^2)</t>
  </si>
  <si>
    <t>Braking power: rear right rotor (kW)</t>
  </si>
  <si>
    <t>Front rotor delta T (K)</t>
  </si>
  <si>
    <t>Duration of Braking (s)</t>
  </si>
  <si>
    <t>Front right rotor delta T (K)</t>
  </si>
  <si>
    <t>Rear rotor delta T (K)</t>
  </si>
  <si>
    <t>Rear right rotor delta T (K)</t>
  </si>
  <si>
    <t>Slope angle (degrees)</t>
  </si>
  <si>
    <t>Front rotor final T (K)</t>
  </si>
  <si>
    <t>°F</t>
  </si>
  <si>
    <t>Rear rotor final T (K)</t>
  </si>
  <si>
    <t>Braking Energy: Front Right</t>
  </si>
  <si>
    <t>Braking Energy: Rear 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</si>
</sst>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"/>
    <numFmt numFmtId="165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2" xfId="0" applyAlignment="1" applyFont="1" applyNumberFormat="1">
      <alignment horizontal="right" vertical="bottom"/>
    </xf>
    <xf borderId="0" fillId="0" fontId="2" numFmtId="164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0" xfId="0" applyFont="1"/>
    <xf borderId="0" fillId="0" fontId="3" numFmtId="2" xfId="0" applyAlignment="1" applyFont="1" applyNumberFormat="1">
      <alignment horizontal="right" readingOrder="0"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horizontal="right" vertical="bottom"/>
    </xf>
    <xf borderId="0" fillId="2" fontId="3" numFmtId="2" xfId="0" applyAlignment="1" applyFill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nny Tseng" id="{adc1087c-9632-428a-b50f-1e2cc5da35e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0-05-04T00:30:52.00" personId="{adc1087c-9632-428a-b50f-1e2cc5da35e5}" id="{5e2fdf78-70b8-47a6-91ab-d96db9fb3b14}" done="0">
    <x18tc:text xml:space="preserve">fix organization and numbers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14.13"/>
    <col customWidth="1" min="3" max="3" width="9.63"/>
    <col customWidth="1" min="4" max="4" width="10.5"/>
    <col customWidth="1" min="5" max="5" width="10.38"/>
    <col customWidth="1" min="6" max="6" width="10.5"/>
    <col customWidth="1" min="7" max="7" width="9.63"/>
    <col customWidth="1" min="8" max="11" width="10.5"/>
    <col customWidth="1" min="12" max="12" width="9.63"/>
    <col customWidth="1" min="13" max="16" width="10.5"/>
    <col customWidth="1" min="17" max="17" width="9.63"/>
  </cols>
  <sheetData>
    <row r="1">
      <c r="A1" s="1" t="s">
        <v>0</v>
      </c>
      <c r="B1" s="2"/>
    </row>
    <row r="2">
      <c r="A2" s="1" t="s">
        <v>2</v>
      </c>
      <c r="B2" s="2"/>
    </row>
    <row r="3">
      <c r="A3" s="2" t="s">
        <v>4</v>
      </c>
      <c r="B3" s="2">
        <v>9.81</v>
      </c>
    </row>
    <row r="4">
      <c r="A4" s="2"/>
      <c r="B4" s="2"/>
    </row>
    <row r="5">
      <c r="A5" s="1" t="s">
        <v>5</v>
      </c>
      <c r="B5" s="2"/>
    </row>
    <row r="6">
      <c r="A6" s="2" t="s">
        <v>6</v>
      </c>
      <c r="B6" s="2">
        <v>300.0</v>
      </c>
    </row>
    <row r="7">
      <c r="A7" s="2" t="s">
        <v>7</v>
      </c>
      <c r="B7" s="2">
        <v>0.58</v>
      </c>
    </row>
    <row r="9">
      <c r="A9" s="1" t="s">
        <v>8</v>
      </c>
      <c r="B9" s="2"/>
    </row>
    <row r="10">
      <c r="A10" s="2" t="s">
        <v>9</v>
      </c>
      <c r="B10" s="2">
        <v>0.125</v>
      </c>
      <c r="D10" s="2" t="s">
        <v>10</v>
      </c>
      <c r="E10" s="5">
        <f>pi()/2*(B10^4-B11^4)</f>
        <v>0.0003595267472</v>
      </c>
    </row>
    <row r="11">
      <c r="A11" s="2" t="s">
        <v>12</v>
      </c>
      <c r="B11" s="2">
        <v>0.0625</v>
      </c>
      <c r="D11" s="2" t="s">
        <v>13</v>
      </c>
      <c r="E11" s="10">
        <f>pi()*(B10^2-B11^2)*B12</f>
        <v>0.0002337786721</v>
      </c>
    </row>
    <row r="12">
      <c r="A12" s="2" t="s">
        <v>17</v>
      </c>
      <c r="B12" s="2">
        <v>0.00635</v>
      </c>
      <c r="D12" s="2" t="s">
        <v>18</v>
      </c>
      <c r="E12" s="10">
        <f>pi()*(B10^2-B11^2)+2*pi()*(B11+B10)*B12</f>
        <v>0.04429645642</v>
      </c>
    </row>
    <row r="14">
      <c r="A14" s="2" t="s">
        <v>21</v>
      </c>
      <c r="B14" s="2">
        <v>10.0</v>
      </c>
    </row>
    <row r="16">
      <c r="A16" s="1" t="s">
        <v>22</v>
      </c>
      <c r="B16" s="2" t="s">
        <v>23</v>
      </c>
      <c r="C16" s="2" t="s">
        <v>25</v>
      </c>
    </row>
    <row r="17">
      <c r="A17" s="2" t="s">
        <v>26</v>
      </c>
      <c r="B17" s="2">
        <v>72.7</v>
      </c>
      <c r="C17" s="2">
        <v>72.7</v>
      </c>
    </row>
    <row r="18">
      <c r="A18" s="2" t="s">
        <v>28</v>
      </c>
      <c r="B18" s="2">
        <v>447.0</v>
      </c>
      <c r="C18" s="2">
        <v>447.0</v>
      </c>
    </row>
    <row r="19">
      <c r="A19" s="2" t="s">
        <v>29</v>
      </c>
      <c r="B19" s="2">
        <v>20.7</v>
      </c>
      <c r="C19" s="2">
        <v>20.7</v>
      </c>
    </row>
    <row r="20">
      <c r="A20" s="2" t="s">
        <v>30</v>
      </c>
      <c r="B20" s="2">
        <v>7870.0</v>
      </c>
      <c r="C20" s="2">
        <v>7870.0</v>
      </c>
    </row>
    <row r="21">
      <c r="A21" s="2" t="s">
        <v>31</v>
      </c>
      <c r="B21" s="2">
        <v>0.3</v>
      </c>
      <c r="C21" s="2">
        <v>0.3</v>
      </c>
    </row>
    <row r="22">
      <c r="A22" s="2"/>
      <c r="B22" s="2"/>
    </row>
    <row r="23">
      <c r="A23" s="1" t="s">
        <v>32</v>
      </c>
      <c r="B23" s="2"/>
    </row>
    <row r="24">
      <c r="A24" s="2" t="s">
        <v>34</v>
      </c>
      <c r="B24" s="2">
        <v>300.0</v>
      </c>
    </row>
    <row r="25">
      <c r="A25" s="2" t="s">
        <v>36</v>
      </c>
      <c r="B25" s="2">
        <f>B24</f>
        <v>300</v>
      </c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6.88"/>
    <col customWidth="1" min="4" max="4" width="26.0"/>
    <col customWidth="1" min="5" max="5" width="6.88"/>
    <col customWidth="1" min="7" max="9" width="22.0"/>
    <col customWidth="1" min="10" max="10" width="10.5"/>
    <col customWidth="1" min="11" max="11" width="30.0"/>
  </cols>
  <sheetData>
    <row r="1">
      <c r="A1" s="2" t="s">
        <v>1</v>
      </c>
    </row>
    <row r="2">
      <c r="A2" s="3" t="s">
        <v>3</v>
      </c>
      <c r="B2" s="4">
        <f>B3*9.8</f>
        <v>2949.8</v>
      </c>
      <c r="C2" s="3"/>
      <c r="D2" s="6" t="s">
        <v>11</v>
      </c>
      <c r="F2" s="3"/>
      <c r="G2" s="7"/>
      <c r="H2" s="7"/>
      <c r="I2" s="7" t="s">
        <v>14</v>
      </c>
      <c r="K2" s="3"/>
    </row>
    <row r="3">
      <c r="A3" s="3" t="s">
        <v>15</v>
      </c>
      <c r="B3" s="8">
        <v>301.0</v>
      </c>
      <c r="C3" s="3"/>
      <c r="D3" s="9" t="s">
        <v>16</v>
      </c>
      <c r="E3" s="11">
        <v>0.66</v>
      </c>
      <c r="F3" s="3"/>
      <c r="G3" s="3"/>
      <c r="H3" s="3"/>
      <c r="I3" s="3" t="s">
        <v>19</v>
      </c>
      <c r="J3" s="3"/>
      <c r="K3" s="3"/>
    </row>
    <row r="4">
      <c r="A4" s="12" t="s">
        <v>20</v>
      </c>
      <c r="B4" s="13">
        <v>0.55</v>
      </c>
      <c r="C4" s="3"/>
      <c r="D4" s="9" t="s">
        <v>24</v>
      </c>
      <c r="E4" s="11">
        <v>0.34</v>
      </c>
      <c r="F4" s="3"/>
      <c r="G4" s="3"/>
      <c r="H4" s="3"/>
      <c r="I4" s="3" t="s">
        <v>27</v>
      </c>
      <c r="J4" s="8">
        <f>B2*sin(J12*pi()/180)</f>
        <v>176.4837098</v>
      </c>
      <c r="K4" s="3"/>
    </row>
    <row r="5">
      <c r="A5" s="3" t="s">
        <v>33</v>
      </c>
      <c r="B5" s="8">
        <v>1.0</v>
      </c>
      <c r="C5" s="3"/>
      <c r="D5" s="2" t="s">
        <v>35</v>
      </c>
      <c r="E5" s="2">
        <v>0.64</v>
      </c>
      <c r="F5" s="3"/>
      <c r="G5" s="3"/>
      <c r="H5" s="3"/>
      <c r="I5" s="3" t="s">
        <v>37</v>
      </c>
      <c r="J5" s="8">
        <f>J6*1000/B7</f>
        <v>5555.555556</v>
      </c>
      <c r="K5" s="14" t="s">
        <v>38</v>
      </c>
    </row>
    <row r="6">
      <c r="A6" s="12" t="s">
        <v>39</v>
      </c>
      <c r="B6" s="13">
        <v>500.0</v>
      </c>
      <c r="C6" s="3"/>
      <c r="D6" s="2" t="s">
        <v>40</v>
      </c>
      <c r="E6" s="2">
        <v>0.36</v>
      </c>
      <c r="F6" s="3"/>
      <c r="G6" s="3"/>
      <c r="H6" s="3"/>
      <c r="I6" s="3" t="s">
        <v>41</v>
      </c>
      <c r="J6" s="8">
        <v>200.0</v>
      </c>
      <c r="K6" s="3"/>
    </row>
    <row r="7">
      <c r="A7" s="3" t="s">
        <v>42</v>
      </c>
      <c r="B7" s="15">
        <v>36.0</v>
      </c>
      <c r="C7" s="3"/>
      <c r="D7" s="3" t="s">
        <v>37</v>
      </c>
      <c r="E7" s="11">
        <f>B11</f>
        <v>4.5</v>
      </c>
      <c r="F7" s="3"/>
      <c r="G7" s="3"/>
      <c r="H7" s="3"/>
      <c r="I7" s="3" t="s">
        <v>43</v>
      </c>
      <c r="J7" s="8">
        <v>613.3</v>
      </c>
      <c r="K7" s="3"/>
    </row>
    <row r="8">
      <c r="A8" s="3" t="s">
        <v>44</v>
      </c>
      <c r="B8" s="16">
        <f>(0.5*B3*B7^2)/1000</f>
        <v>195.048</v>
      </c>
      <c r="C8" s="3"/>
      <c r="D8" s="9" t="s">
        <v>45</v>
      </c>
      <c r="E8" s="4">
        <f>B8/E7</f>
        <v>43.344</v>
      </c>
      <c r="F8" s="3"/>
      <c r="G8" s="17"/>
      <c r="H8" s="17"/>
      <c r="I8" s="17" t="s">
        <v>46</v>
      </c>
      <c r="J8" s="18"/>
      <c r="K8" s="3"/>
    </row>
    <row r="9">
      <c r="A9" s="3" t="s">
        <v>47</v>
      </c>
      <c r="B9" s="15">
        <v>300.0</v>
      </c>
      <c r="C9" s="3"/>
      <c r="D9" s="17" t="s">
        <v>48</v>
      </c>
      <c r="E9" s="4">
        <f>E8*E3*E5</f>
        <v>18.3085056</v>
      </c>
      <c r="F9" s="3"/>
      <c r="G9" s="17"/>
      <c r="H9" s="17"/>
      <c r="I9" s="17" t="s">
        <v>49</v>
      </c>
      <c r="J9" s="18"/>
      <c r="K9" s="3"/>
    </row>
    <row r="10">
      <c r="A10" s="3" t="s">
        <v>50</v>
      </c>
      <c r="B10" s="15">
        <v>8.0</v>
      </c>
      <c r="C10" s="3"/>
      <c r="D10" s="17" t="s">
        <v>51</v>
      </c>
      <c r="E10" s="4">
        <f>E8*E4*E5</f>
        <v>9.4316544</v>
      </c>
      <c r="F10" s="3"/>
      <c r="G10" s="3"/>
      <c r="H10" s="3"/>
      <c r="I10" s="3" t="s">
        <v>52</v>
      </c>
      <c r="J10" s="19">
        <f>J5*J6*1000/B6/B4</f>
        <v>4040404.04</v>
      </c>
      <c r="K10" s="3"/>
    </row>
    <row r="11">
      <c r="A11" s="9" t="s">
        <v>53</v>
      </c>
      <c r="B11" s="3">
        <f>B7/B10</f>
        <v>4.5</v>
      </c>
      <c r="C11" s="3"/>
      <c r="D11" s="3" t="s">
        <v>54</v>
      </c>
      <c r="E11" s="4">
        <f>E9*1000*E7/B6/B4</f>
        <v>299.593728</v>
      </c>
      <c r="F11" s="3"/>
      <c r="G11" s="3"/>
      <c r="H11" s="3"/>
      <c r="I11" s="3" t="s">
        <v>55</v>
      </c>
      <c r="J11" s="19">
        <f>J6*1000*J5/B6/B5</f>
        <v>2222222.222</v>
      </c>
      <c r="K11" s="3"/>
    </row>
    <row r="12">
      <c r="A12" s="3"/>
      <c r="B12" s="3"/>
      <c r="C12" s="3"/>
      <c r="D12" s="3" t="s">
        <v>56</v>
      </c>
      <c r="E12" s="4">
        <f>E10*1000*E7/B6/B5</f>
        <v>84.8848896</v>
      </c>
      <c r="F12" s="3"/>
      <c r="G12" s="3"/>
      <c r="H12" s="3"/>
      <c r="I12" s="3" t="s">
        <v>57</v>
      </c>
      <c r="J12" s="8">
        <v>3.43</v>
      </c>
      <c r="K12" s="3"/>
    </row>
    <row r="13">
      <c r="A13" s="3"/>
      <c r="B13" s="3"/>
      <c r="C13" s="3"/>
      <c r="D13" s="12" t="s">
        <v>58</v>
      </c>
      <c r="E13" s="20">
        <f>E11+B9</f>
        <v>599.593728</v>
      </c>
      <c r="F13" s="21">
        <f t="shared" ref="F13:F14" si="1">(E13-273)*9/5+32</f>
        <v>619.8687104</v>
      </c>
      <c r="G13" s="9" t="s">
        <v>59</v>
      </c>
      <c r="H13" s="3"/>
      <c r="I13" s="3"/>
      <c r="J13" s="3"/>
      <c r="K13" s="3"/>
    </row>
    <row r="14">
      <c r="A14" s="3"/>
      <c r="B14" s="3"/>
      <c r="C14" s="3"/>
      <c r="D14" s="3" t="s">
        <v>60</v>
      </c>
      <c r="E14" s="4">
        <f>E12+B9</f>
        <v>384.8848896</v>
      </c>
      <c r="F14" s="21">
        <f t="shared" si="1"/>
        <v>233.3928013</v>
      </c>
      <c r="G14" s="9" t="s">
        <v>59</v>
      </c>
      <c r="H14" s="3"/>
      <c r="I14" s="3"/>
      <c r="J14" s="3"/>
      <c r="K14" s="3"/>
    </row>
    <row r="15">
      <c r="A15" s="3"/>
      <c r="B15" s="3"/>
      <c r="C15" s="3"/>
      <c r="D15" s="3"/>
      <c r="E15" s="4"/>
      <c r="F15" s="3"/>
      <c r="G15" s="3"/>
      <c r="H15" s="3"/>
      <c r="I15" s="3"/>
      <c r="J15" s="3"/>
      <c r="K15" s="3"/>
    </row>
    <row r="16">
      <c r="D16" s="9" t="s">
        <v>61</v>
      </c>
      <c r="E16" s="22">
        <f>E9*E7</f>
        <v>82.3882752</v>
      </c>
    </row>
    <row r="17">
      <c r="D17" s="9" t="s">
        <v>62</v>
      </c>
      <c r="E17" s="22">
        <f>E10*E7</f>
        <v>42.4424448</v>
      </c>
    </row>
    <row r="18">
      <c r="E18" s="22"/>
    </row>
    <row r="26">
      <c r="D26" s="3"/>
    </row>
  </sheetData>
  <mergeCells count="2">
    <mergeCell ref="D2:E2"/>
    <mergeCell ref="I2:J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