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X CG" sheetId="1" r:id="rId5"/>
  </sheets>
  <definedNames/>
  <calcPr/>
</workbook>
</file>

<file path=xl/sharedStrings.xml><?xml version="1.0" encoding="utf-8"?>
<sst xmlns="http://schemas.openxmlformats.org/spreadsheetml/2006/main" count="18" uniqueCount="15">
  <si>
    <t>Reference</t>
  </si>
  <si>
    <t>Rear axle</t>
  </si>
  <si>
    <t>g (m/s^2)</t>
  </si>
  <si>
    <t>Wheelbase (m)</t>
  </si>
  <si>
    <t>Mass (kg)</t>
  </si>
  <si>
    <t>Weight (N)</t>
  </si>
  <si>
    <t>CG w/r/t reference (m)</t>
  </si>
  <si>
    <t>CG height (m)</t>
  </si>
  <si>
    <t>Front weight (N)</t>
  </si>
  <si>
    <t>Rear weight (N)</t>
  </si>
  <si>
    <t>Weight distribution (F:R)</t>
  </si>
  <si>
    <t>Deceleration (m/s^2)</t>
  </si>
  <si>
    <t>Weight transfer (N)</t>
  </si>
  <si>
    <t>ASC 2018 10.5.C requires average deceleration &gt;4.72 m/s^2</t>
  </si>
  <si>
    <t>WSC calculation with v = 65 mph  requires average deceleration &gt;5.5 m/s^2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</si>
</sst>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2" fontId="1" numFmtId="0" xfId="0" applyAlignment="1" applyFill="1" applyFont="1">
      <alignment horizontal="right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4.75"/>
  </cols>
  <sheetData>
    <row r="1">
      <c r="A1" s="1" t="s">
        <v>0</v>
      </c>
      <c r="B1" s="1" t="s">
        <v>1</v>
      </c>
    </row>
    <row r="2">
      <c r="A2" s="1" t="s">
        <v>2</v>
      </c>
      <c r="B2" s="1">
        <v>9.81</v>
      </c>
      <c r="C2" s="1"/>
    </row>
    <row r="3">
      <c r="A3" s="1" t="s">
        <v>3</v>
      </c>
      <c r="B3" s="1">
        <v>2.08</v>
      </c>
    </row>
    <row r="4">
      <c r="A4" s="1" t="s">
        <v>4</v>
      </c>
      <c r="B4" s="2">
        <v>270.0</v>
      </c>
    </row>
    <row r="5">
      <c r="A5" s="1" t="s">
        <v>5</v>
      </c>
      <c r="B5" s="2">
        <f>B4*B2</f>
        <v>2648.7</v>
      </c>
    </row>
    <row r="6">
      <c r="A6" s="1" t="s">
        <v>6</v>
      </c>
      <c r="B6" s="2">
        <v>1.04</v>
      </c>
    </row>
    <row r="7">
      <c r="A7" s="1" t="s">
        <v>7</v>
      </c>
      <c r="B7" s="2">
        <v>0.28</v>
      </c>
    </row>
    <row r="8">
      <c r="A8" s="1" t="s">
        <v>8</v>
      </c>
      <c r="B8" s="3">
        <f>B5*B6/B3</f>
        <v>1324.35</v>
      </c>
    </row>
    <row r="9">
      <c r="A9" s="1" t="s">
        <v>9</v>
      </c>
      <c r="B9" s="3">
        <f>B5-B8</f>
        <v>1324.35</v>
      </c>
    </row>
    <row r="10">
      <c r="A10" s="1" t="s">
        <v>10</v>
      </c>
      <c r="B10" s="4" t="str">
        <f>TEXT(100*B8/B5,"#0")&amp;":"&amp;TEXT(100*B9/B5,"#0")</f>
        <v>50:50</v>
      </c>
    </row>
    <row r="12">
      <c r="A12" s="1" t="s">
        <v>11</v>
      </c>
      <c r="B12" s="1" t="s">
        <v>12</v>
      </c>
      <c r="C12" s="1" t="s">
        <v>8</v>
      </c>
      <c r="D12" s="1" t="s">
        <v>9</v>
      </c>
      <c r="E12" s="1" t="s">
        <v>10</v>
      </c>
    </row>
    <row r="13">
      <c r="A13" s="1">
        <v>1.0</v>
      </c>
      <c r="B13" s="3">
        <f t="shared" ref="B13:B18" si="1">A13/$B$2*$B$7/$B$3*$B$5</f>
        <v>36.34615385</v>
      </c>
      <c r="C13" s="3">
        <f t="shared" ref="C13:C18" si="2">$B$8+B13</f>
        <v>1360.696154</v>
      </c>
      <c r="D13" s="3">
        <f t="shared" ref="D13:D18" si="3">$B$9-B13</f>
        <v>1288.003846</v>
      </c>
      <c r="E13" s="4" t="str">
        <f t="shared" ref="E13:E18" si="4">TEXT(100*C13/$B$5,"#0")&amp;":"&amp;TEXT(100*D13/$B$5,"#0")</f>
        <v>51:49</v>
      </c>
    </row>
    <row r="14">
      <c r="A14" s="1">
        <v>3.0</v>
      </c>
      <c r="B14" s="3">
        <f t="shared" si="1"/>
        <v>109.0384615</v>
      </c>
      <c r="C14" s="3">
        <f t="shared" si="2"/>
        <v>1433.388462</v>
      </c>
      <c r="D14" s="3">
        <f t="shared" si="3"/>
        <v>1215.311538</v>
      </c>
      <c r="E14" s="4" t="str">
        <f t="shared" si="4"/>
        <v>54:46</v>
      </c>
    </row>
    <row r="15">
      <c r="A15" s="1">
        <v>4.72</v>
      </c>
      <c r="B15" s="3">
        <f t="shared" si="1"/>
        <v>171.5538462</v>
      </c>
      <c r="C15" s="3">
        <f t="shared" si="2"/>
        <v>1495.903846</v>
      </c>
      <c r="D15" s="3">
        <f t="shared" si="3"/>
        <v>1152.796154</v>
      </c>
      <c r="E15" s="4" t="str">
        <f t="shared" si="4"/>
        <v>56:44</v>
      </c>
    </row>
    <row r="16">
      <c r="A16" s="1">
        <v>5.5</v>
      </c>
      <c r="B16" s="3">
        <f t="shared" si="1"/>
        <v>199.9038462</v>
      </c>
      <c r="C16" s="3">
        <f t="shared" si="2"/>
        <v>1524.253846</v>
      </c>
      <c r="D16" s="3">
        <f t="shared" si="3"/>
        <v>1124.446154</v>
      </c>
      <c r="E16" s="4" t="str">
        <f t="shared" si="4"/>
        <v>58:42</v>
      </c>
    </row>
    <row r="17">
      <c r="A17" s="1">
        <v>7.0</v>
      </c>
      <c r="B17" s="3">
        <f t="shared" si="1"/>
        <v>254.4230769</v>
      </c>
      <c r="C17" s="3">
        <f t="shared" si="2"/>
        <v>1578.773077</v>
      </c>
      <c r="D17" s="3">
        <f t="shared" si="3"/>
        <v>1069.926923</v>
      </c>
      <c r="E17" s="4" t="str">
        <f t="shared" si="4"/>
        <v>60:40</v>
      </c>
    </row>
    <row r="18">
      <c r="A18" s="1">
        <v>9.81</v>
      </c>
      <c r="B18" s="3">
        <f t="shared" si="1"/>
        <v>356.5557692</v>
      </c>
      <c r="C18" s="3">
        <f t="shared" si="2"/>
        <v>1680.905769</v>
      </c>
      <c r="D18" s="3">
        <f t="shared" si="3"/>
        <v>967.7942308</v>
      </c>
      <c r="E18" s="4" t="str">
        <f t="shared" si="4"/>
        <v>63:37</v>
      </c>
    </row>
    <row r="19">
      <c r="A19" s="1" t="s">
        <v>13</v>
      </c>
      <c r="E19" s="5"/>
    </row>
    <row r="20">
      <c r="A20" s="1" t="s">
        <v>14</v>
      </c>
      <c r="E20" s="5"/>
    </row>
    <row r="21">
      <c r="E21" s="5"/>
    </row>
    <row r="22">
      <c r="E22" s="5"/>
    </row>
  </sheetData>
  <drawing r:id="rId1"/>
</worksheet>
</file>