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ake Force Calculator" sheetId="1" r:id="rId5"/>
    <sheet state="visible" name="Weight Distribution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tc={378df453-2c6c-4e69-a5b3-0b5e474897ea}</author>
  </authors>
  <commentList>
    <comment authorId="0" xr:uid="{378df453-2c6c-4e69-a5b3-0b5e474897e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Looks good; maybe add a section for road conditions and tire slip (i.e. even if you can brake to the limit of the pads, often the tires slip first).
</t>
      </text>
    </comment>
  </commentList>
</comments>
</file>

<file path=xl/sharedStrings.xml><?xml version="1.0" encoding="utf-8"?>
<sst xmlns="http://schemas.openxmlformats.org/spreadsheetml/2006/main" count="55" uniqueCount="53">
  <si>
    <t>Value</t>
  </si>
  <si>
    <t>g [m/s^2]</t>
  </si>
  <si>
    <t>Vehicle Mass [kg]</t>
  </si>
  <si>
    <t>Force Applied by Driver</t>
  </si>
  <si>
    <t>~500-600N</t>
  </si>
  <si>
    <t>Tire Radius [m]</t>
  </si>
  <si>
    <t>Wheelbase [m]</t>
  </si>
  <si>
    <t>Mass [kg]</t>
  </si>
  <si>
    <t>Front Rotor Radius [m]</t>
  </si>
  <si>
    <t>Rear Rotor Radius [m]</t>
  </si>
  <si>
    <t xml:space="preserve"> </t>
  </si>
  <si>
    <t xml:space="preserve">Front Pad Coeff. of Friction </t>
  </si>
  <si>
    <t>Rear Pad Coeff. of Friction</t>
  </si>
  <si>
    <t>Pedal Ratio</t>
  </si>
  <si>
    <t>Balance Bar Ratio (F)</t>
  </si>
  <si>
    <t>Tire Coeff. of Friction</t>
  </si>
  <si>
    <t>ASC 2020 Reg.</t>
  </si>
  <si>
    <t>WSC 2019 Reg. (with V = 65 mph)</t>
  </si>
  <si>
    <t>Deceleration [m/s^2]</t>
  </si>
  <si>
    <t>Total Force Required [N]</t>
  </si>
  <si>
    <t>Weight [N]</t>
  </si>
  <si>
    <t>CG w/r/t reference [m]</t>
  </si>
  <si>
    <t>CG height [m]</t>
  </si>
  <si>
    <t>Front weight [N]</t>
  </si>
  <si>
    <t>Rear weight [N]</t>
  </si>
  <si>
    <t>Weight distribution (F:R)</t>
  </si>
  <si>
    <t>Total Force on Front [N]</t>
  </si>
  <si>
    <t>WSC 2019 Reg.</t>
  </si>
  <si>
    <t>Deceleration (m/s^2)</t>
  </si>
  <si>
    <t>Weight Transfer [N]</t>
  </si>
  <si>
    <t>Total Force on Rear [N]</t>
  </si>
  <si>
    <t>Front Weight [N]</t>
  </si>
  <si>
    <t>Force on One Front Tire [N]</t>
  </si>
  <si>
    <t>Rear Weight [N]</t>
  </si>
  <si>
    <t>Force on One Rear Tire [N]</t>
  </si>
  <si>
    <t>Weight Distribution (F:R)</t>
  </si>
  <si>
    <t>Torque in Front Tire [N*m]</t>
  </si>
  <si>
    <t>Brake Balance Ratio (F/R)</t>
  </si>
  <si>
    <t>Torque in Rear Tire [N*m]</t>
  </si>
  <si>
    <t>ASC 2018 10.5.C requires average deceleration &gt;4.72 m/s^2</t>
  </si>
  <si>
    <t>WSC calculation with v = 65 mph  requires average deceleration &gt;5.5 m/s^2</t>
  </si>
  <si>
    <t>Friction Force on Front Rotor [N]</t>
  </si>
  <si>
    <t>Friction Force on Rear Rotor [N]</t>
  </si>
  <si>
    <t>Front Clamp Force [N]</t>
  </si>
  <si>
    <t>Rear Clamp Force [N]</t>
  </si>
  <si>
    <t>Front Caliper Force [N]</t>
  </si>
  <si>
    <t>Rear Caliper Force [N]</t>
  </si>
  <si>
    <t>Pedal Force [N]</t>
  </si>
  <si>
    <t>Pedal Force [lb]</t>
  </si>
  <si>
    <t>Front Tires Lock</t>
  </si>
  <si>
    <t>Rear Tires Lock</t>
  </si>
  <si>
    <t>Front Tire Friction Force Output</t>
  </si>
  <si>
    <t>Rear Tire Friction Force Output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</si>
</sst>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Roboto"/>
    </font>
    <font>
      <sz val="10.0"/>
      <color theme="1"/>
      <name val="Arial"/>
      <scheme val="minor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F3F3F3"/>
        <bgColor rgb="FFF3F3F3"/>
      </patternFill>
    </fill>
    <fill>
      <patternFill patternType="solid">
        <fgColor rgb="FFD0E0E3"/>
        <bgColor rgb="FFD0E0E3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4" fontId="1" numFmtId="0" xfId="0" applyFill="1" applyFont="1"/>
    <xf borderId="0" fillId="3" fontId="2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6" fontId="1" numFmtId="0" xfId="0" applyAlignment="1" applyFill="1" applyFont="1">
      <alignment readingOrder="0"/>
    </xf>
    <xf borderId="0" fillId="0" fontId="1" numFmtId="164" xfId="0" applyFont="1" applyNumberFormat="1"/>
    <xf borderId="0" fillId="6" fontId="1" numFmtId="164" xfId="0" applyFill="1" applyFont="1" applyNumberFormat="1"/>
    <xf borderId="0" fillId="4" fontId="1" numFmtId="0" xfId="0" applyFill="1" applyFont="1"/>
    <xf borderId="0" fillId="4" fontId="1" numFmtId="0" xfId="0" applyAlignment="1" applyFill="1" applyFont="1">
      <alignment horizontal="right"/>
    </xf>
    <xf borderId="0" fillId="5" fontId="1" numFmtId="0" xfId="0" applyFill="1" applyFont="1"/>
    <xf borderId="0" fillId="6" fontId="1" numFmtId="0" xfId="0" applyFill="1" applyFont="1"/>
    <xf borderId="0" fillId="0" fontId="1" numFmtId="0" xfId="0" applyFont="1"/>
    <xf borderId="0" fillId="2" fontId="3" numFmtId="0" xfId="0" applyFill="1" applyFont="1"/>
    <xf borderId="0" fillId="6" fontId="3" numFmtId="0" xfId="0" applyFill="1" applyFont="1"/>
    <xf borderId="0" fillId="0" fontId="1" numFmtId="0" xfId="0" applyAlignment="1" applyFont="1">
      <alignment horizontal="right"/>
    </xf>
    <xf borderId="0" fillId="6" fontId="1" numFmtId="0" xfId="0" applyAlignment="1" applyFill="1" applyFont="1">
      <alignment horizontal="right"/>
    </xf>
    <xf borderId="0" fillId="0" fontId="4" numFmtId="0" xfId="0" applyAlignment="1" applyFont="1">
      <alignment vertical="bottom"/>
    </xf>
    <xf borderId="0" fillId="0" fontId="1" numFmtId="164" xfId="0" applyFont="1" applyNumberFormat="1"/>
    <xf borderId="0" fillId="6" fontId="1" numFmtId="164" xfId="0" applyFill="1" applyFont="1" applyNumberFormat="1"/>
  </cellXfs>
  <cellStyles count="1">
    <cellStyle xfId="0" name="Normal" builtinId="0"/>
  </cellStyles>
  <dxfs count="2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Tristan Lall" id="{f771a71d-3e8d-4e1e-ab74-2da6e33330c1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19-10-08T04:40:25.00" personId="{f771a71d-3e8d-4e1e-ab74-2da6e33330c1}" id="{378df453-2c6c-4e69-a5b3-0b5e474897ea}" done="1">
    <x18tc:text xml:space="preserve">Looks good; maybe add a section for road conditions and tire slip (i.e. even if you can brake to the limit of the pads, often the tires slip first).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88"/>
    <col customWidth="1" min="2" max="2" width="10.13"/>
    <col customWidth="1" min="4" max="4" width="12.13"/>
  </cols>
  <sheetData>
    <row r="1">
      <c r="A1" s="1"/>
      <c r="B1" s="3" t="s">
        <v>0</v>
      </c>
      <c r="C1" s="2"/>
      <c r="E1" s="3"/>
      <c r="F1" s="3"/>
    </row>
    <row r="2">
      <c r="A2" s="4" t="s">
        <v>2</v>
      </c>
      <c r="B2" s="5">
        <v>300.0</v>
      </c>
      <c r="C2" s="1"/>
      <c r="D2" s="3" t="s">
        <v>3</v>
      </c>
      <c r="E2" s="3" t="s">
        <v>4</v>
      </c>
      <c r="F2" s="6"/>
    </row>
    <row r="3">
      <c r="A3" s="4" t="s">
        <v>5</v>
      </c>
      <c r="B3" s="5">
        <v>0.28</v>
      </c>
      <c r="C3" s="1"/>
      <c r="D3" s="6"/>
      <c r="E3" s="6"/>
      <c r="F3" s="6"/>
    </row>
    <row r="4">
      <c r="A4" s="4" t="s">
        <v>8</v>
      </c>
      <c r="B4" s="5">
        <v>0.12</v>
      </c>
      <c r="C4" s="1"/>
    </row>
    <row r="5">
      <c r="A5" s="4" t="s">
        <v>9</v>
      </c>
      <c r="B5" s="7">
        <v>0.16129</v>
      </c>
      <c r="C5" s="1"/>
      <c r="F5" s="3" t="s">
        <v>10</v>
      </c>
    </row>
    <row r="6">
      <c r="A6" s="4" t="s">
        <v>11</v>
      </c>
      <c r="B6" s="5">
        <v>0.35</v>
      </c>
      <c r="C6" s="1"/>
    </row>
    <row r="7">
      <c r="A7" s="4" t="s">
        <v>12</v>
      </c>
      <c r="B7" s="5">
        <v>0.35</v>
      </c>
      <c r="C7" s="1"/>
    </row>
    <row r="8">
      <c r="A8" s="4" t="s">
        <v>13</v>
      </c>
      <c r="B8" s="5">
        <v>6.0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>
      <c r="A9" s="8" t="s">
        <v>14</v>
      </c>
      <c r="B9" s="5">
        <v>0.7</v>
      </c>
      <c r="C9" s="1"/>
    </row>
    <row r="10">
      <c r="A10" s="8" t="s">
        <v>15</v>
      </c>
      <c r="B10" s="5">
        <v>0.7</v>
      </c>
      <c r="C10" s="1"/>
    </row>
    <row r="11">
      <c r="A11" s="3"/>
      <c r="B11" s="3"/>
      <c r="C11" s="3"/>
      <c r="D11" s="3"/>
      <c r="E11" s="3"/>
      <c r="F11" s="3" t="s">
        <v>16</v>
      </c>
      <c r="G11" s="3"/>
      <c r="H11" s="3" t="s">
        <v>17</v>
      </c>
      <c r="I11" s="3"/>
      <c r="J11" s="3"/>
      <c r="K11" s="3"/>
      <c r="L11" s="3"/>
      <c r="M11" s="3"/>
      <c r="N11" s="3"/>
    </row>
    <row r="12">
      <c r="A12" s="9" t="s">
        <v>18</v>
      </c>
      <c r="B12" s="5">
        <v>1.0</v>
      </c>
      <c r="C12" s="5">
        <v>2.0</v>
      </c>
      <c r="D12" s="5">
        <v>3.0</v>
      </c>
      <c r="E12" s="5">
        <v>4.0</v>
      </c>
      <c r="F12" s="10">
        <v>4.72</v>
      </c>
      <c r="G12" s="5">
        <v>5.0</v>
      </c>
      <c r="H12" s="10">
        <v>5.55</v>
      </c>
      <c r="I12" s="5">
        <v>6.0</v>
      </c>
      <c r="J12" s="5">
        <v>7.0</v>
      </c>
      <c r="K12" s="5">
        <v>8.0</v>
      </c>
      <c r="L12" s="5">
        <v>9.0</v>
      </c>
      <c r="M12" s="5">
        <v>9.81</v>
      </c>
      <c r="N12" s="5">
        <v>10.0</v>
      </c>
      <c r="O12" s="3">
        <v>12.0</v>
      </c>
      <c r="P12" s="3">
        <v>14.0</v>
      </c>
      <c r="Q12" s="3">
        <v>16.0</v>
      </c>
      <c r="R12" s="3">
        <v>18.0</v>
      </c>
      <c r="S12" s="3">
        <v>20.0</v>
      </c>
    </row>
    <row r="13">
      <c r="A13" s="9" t="s">
        <v>19</v>
      </c>
      <c r="B13" s="11">
        <f t="shared" ref="B13:S13" si="1">($B$2)*(B12)</f>
        <v>300</v>
      </c>
      <c r="C13" s="11">
        <f t="shared" si="1"/>
        <v>600</v>
      </c>
      <c r="D13" s="11">
        <f t="shared" si="1"/>
        <v>900</v>
      </c>
      <c r="E13" s="11">
        <f t="shared" si="1"/>
        <v>1200</v>
      </c>
      <c r="F13" s="12">
        <f t="shared" si="1"/>
        <v>1416</v>
      </c>
      <c r="G13" s="11">
        <f t="shared" si="1"/>
        <v>1500</v>
      </c>
      <c r="H13" s="12">
        <f t="shared" si="1"/>
        <v>1665</v>
      </c>
      <c r="I13" s="11">
        <f t="shared" si="1"/>
        <v>1800</v>
      </c>
      <c r="J13" s="11">
        <f t="shared" si="1"/>
        <v>2100</v>
      </c>
      <c r="K13" s="11">
        <f t="shared" si="1"/>
        <v>2400</v>
      </c>
      <c r="L13" s="11">
        <f t="shared" si="1"/>
        <v>2700</v>
      </c>
      <c r="M13" s="11">
        <f t="shared" si="1"/>
        <v>2943</v>
      </c>
      <c r="N13" s="11">
        <f t="shared" si="1"/>
        <v>3000</v>
      </c>
      <c r="O13" s="11">
        <f t="shared" si="1"/>
        <v>3600</v>
      </c>
      <c r="P13" s="11">
        <f t="shared" si="1"/>
        <v>4200</v>
      </c>
      <c r="Q13" s="11">
        <f t="shared" si="1"/>
        <v>4800</v>
      </c>
      <c r="R13" s="11">
        <f t="shared" si="1"/>
        <v>5400</v>
      </c>
      <c r="S13" s="11">
        <f t="shared" si="1"/>
        <v>6000</v>
      </c>
    </row>
    <row r="14">
      <c r="A14" s="9" t="s">
        <v>26</v>
      </c>
      <c r="B14" s="11">
        <f t="shared" ref="B14:S14" si="2">B13*$B$9</f>
        <v>210</v>
      </c>
      <c r="C14" s="11">
        <f t="shared" si="2"/>
        <v>420</v>
      </c>
      <c r="D14" s="11">
        <f t="shared" si="2"/>
        <v>630</v>
      </c>
      <c r="E14" s="11">
        <f t="shared" si="2"/>
        <v>840</v>
      </c>
      <c r="F14" s="12">
        <f t="shared" si="2"/>
        <v>991.2</v>
      </c>
      <c r="G14" s="11">
        <f t="shared" si="2"/>
        <v>1050</v>
      </c>
      <c r="H14" s="12">
        <f t="shared" si="2"/>
        <v>1165.5</v>
      </c>
      <c r="I14" s="11">
        <f t="shared" si="2"/>
        <v>1260</v>
      </c>
      <c r="J14" s="11">
        <f t="shared" si="2"/>
        <v>1470</v>
      </c>
      <c r="K14" s="11">
        <f t="shared" si="2"/>
        <v>1680</v>
      </c>
      <c r="L14" s="11">
        <f t="shared" si="2"/>
        <v>1890</v>
      </c>
      <c r="M14" s="11">
        <f t="shared" si="2"/>
        <v>2060.1</v>
      </c>
      <c r="N14" s="11">
        <f t="shared" si="2"/>
        <v>2100</v>
      </c>
      <c r="O14" s="11">
        <f t="shared" si="2"/>
        <v>2520</v>
      </c>
      <c r="P14" s="11">
        <f t="shared" si="2"/>
        <v>2940</v>
      </c>
      <c r="Q14" s="11">
        <f t="shared" si="2"/>
        <v>3360</v>
      </c>
      <c r="R14" s="11">
        <f t="shared" si="2"/>
        <v>3780</v>
      </c>
      <c r="S14" s="11">
        <f t="shared" si="2"/>
        <v>4200</v>
      </c>
    </row>
    <row r="15">
      <c r="A15" s="9" t="s">
        <v>30</v>
      </c>
      <c r="B15" s="11">
        <f t="shared" ref="B15:S15" si="3">B13-B14</f>
        <v>90</v>
      </c>
      <c r="C15" s="11">
        <f t="shared" si="3"/>
        <v>180</v>
      </c>
      <c r="D15" s="11">
        <f t="shared" si="3"/>
        <v>270</v>
      </c>
      <c r="E15" s="11">
        <f t="shared" si="3"/>
        <v>360</v>
      </c>
      <c r="F15" s="12">
        <f t="shared" si="3"/>
        <v>424.8</v>
      </c>
      <c r="G15" s="11">
        <f t="shared" si="3"/>
        <v>450</v>
      </c>
      <c r="H15" s="12">
        <f t="shared" si="3"/>
        <v>499.5</v>
      </c>
      <c r="I15" s="11">
        <f t="shared" si="3"/>
        <v>540</v>
      </c>
      <c r="J15" s="11">
        <f t="shared" si="3"/>
        <v>630</v>
      </c>
      <c r="K15" s="11">
        <f t="shared" si="3"/>
        <v>720</v>
      </c>
      <c r="L15" s="11">
        <f t="shared" si="3"/>
        <v>810</v>
      </c>
      <c r="M15" s="11">
        <f t="shared" si="3"/>
        <v>882.9</v>
      </c>
      <c r="N15" s="11">
        <f t="shared" si="3"/>
        <v>900</v>
      </c>
      <c r="O15" s="11">
        <f t="shared" si="3"/>
        <v>1080</v>
      </c>
      <c r="P15" s="11">
        <f t="shared" si="3"/>
        <v>1260</v>
      </c>
      <c r="Q15" s="11">
        <f t="shared" si="3"/>
        <v>1440</v>
      </c>
      <c r="R15" s="11">
        <f t="shared" si="3"/>
        <v>1620</v>
      </c>
      <c r="S15" s="11">
        <f t="shared" si="3"/>
        <v>1800</v>
      </c>
    </row>
    <row r="16">
      <c r="A16" s="9" t="s">
        <v>32</v>
      </c>
      <c r="B16" s="11">
        <f t="shared" ref="B16:S16" si="4">B14/2</f>
        <v>105</v>
      </c>
      <c r="C16" s="11">
        <f t="shared" si="4"/>
        <v>210</v>
      </c>
      <c r="D16" s="11">
        <f t="shared" si="4"/>
        <v>315</v>
      </c>
      <c r="E16" s="11">
        <f t="shared" si="4"/>
        <v>420</v>
      </c>
      <c r="F16" s="12">
        <f t="shared" si="4"/>
        <v>495.6</v>
      </c>
      <c r="G16" s="11">
        <f t="shared" si="4"/>
        <v>525</v>
      </c>
      <c r="H16" s="12">
        <f t="shared" si="4"/>
        <v>582.75</v>
      </c>
      <c r="I16" s="11">
        <f t="shared" si="4"/>
        <v>630</v>
      </c>
      <c r="J16" s="11">
        <f t="shared" si="4"/>
        <v>735</v>
      </c>
      <c r="K16" s="11">
        <f t="shared" si="4"/>
        <v>840</v>
      </c>
      <c r="L16" s="11">
        <f t="shared" si="4"/>
        <v>945</v>
      </c>
      <c r="M16" s="11">
        <f t="shared" si="4"/>
        <v>1030.05</v>
      </c>
      <c r="N16" s="11">
        <f t="shared" si="4"/>
        <v>1050</v>
      </c>
      <c r="O16" s="11">
        <f t="shared" si="4"/>
        <v>1260</v>
      </c>
      <c r="P16" s="11">
        <f t="shared" si="4"/>
        <v>1470</v>
      </c>
      <c r="Q16" s="11">
        <f t="shared" si="4"/>
        <v>1680</v>
      </c>
      <c r="R16" s="11">
        <f t="shared" si="4"/>
        <v>1890</v>
      </c>
      <c r="S16" s="11">
        <f t="shared" si="4"/>
        <v>2100</v>
      </c>
    </row>
    <row r="17">
      <c r="A17" s="9" t="s">
        <v>34</v>
      </c>
      <c r="B17" s="11">
        <f t="shared" ref="B17:S17" si="5">B15/2</f>
        <v>45</v>
      </c>
      <c r="C17" s="11">
        <f t="shared" si="5"/>
        <v>90</v>
      </c>
      <c r="D17" s="11">
        <f t="shared" si="5"/>
        <v>135</v>
      </c>
      <c r="E17" s="11">
        <f t="shared" si="5"/>
        <v>180</v>
      </c>
      <c r="F17" s="12">
        <f t="shared" si="5"/>
        <v>212.4</v>
      </c>
      <c r="G17" s="11">
        <f t="shared" si="5"/>
        <v>225</v>
      </c>
      <c r="H17" s="12">
        <f t="shared" si="5"/>
        <v>249.75</v>
      </c>
      <c r="I17" s="11">
        <f t="shared" si="5"/>
        <v>270</v>
      </c>
      <c r="J17" s="11">
        <f t="shared" si="5"/>
        <v>315</v>
      </c>
      <c r="K17" s="11">
        <f t="shared" si="5"/>
        <v>360</v>
      </c>
      <c r="L17" s="11">
        <f t="shared" si="5"/>
        <v>405</v>
      </c>
      <c r="M17" s="11">
        <f t="shared" si="5"/>
        <v>441.45</v>
      </c>
      <c r="N17" s="11">
        <f t="shared" si="5"/>
        <v>450</v>
      </c>
      <c r="O17" s="11">
        <f t="shared" si="5"/>
        <v>540</v>
      </c>
      <c r="P17" s="11">
        <f t="shared" si="5"/>
        <v>630</v>
      </c>
      <c r="Q17" s="11">
        <f t="shared" si="5"/>
        <v>720</v>
      </c>
      <c r="R17" s="11">
        <f t="shared" si="5"/>
        <v>810</v>
      </c>
      <c r="S17" s="11">
        <f t="shared" si="5"/>
        <v>900</v>
      </c>
    </row>
    <row r="18">
      <c r="A18" s="9" t="s">
        <v>36</v>
      </c>
      <c r="B18" s="11">
        <f t="shared" ref="B18:S18" si="6">B16*$B3</f>
        <v>29.4</v>
      </c>
      <c r="C18" s="11">
        <f t="shared" si="6"/>
        <v>58.8</v>
      </c>
      <c r="D18" s="11">
        <f t="shared" si="6"/>
        <v>88.2</v>
      </c>
      <c r="E18" s="11">
        <f t="shared" si="6"/>
        <v>117.6</v>
      </c>
      <c r="F18" s="12">
        <f t="shared" si="6"/>
        <v>138.768</v>
      </c>
      <c r="G18" s="11">
        <f t="shared" si="6"/>
        <v>147</v>
      </c>
      <c r="H18" s="12">
        <f t="shared" si="6"/>
        <v>163.17</v>
      </c>
      <c r="I18" s="11">
        <f t="shared" si="6"/>
        <v>176.4</v>
      </c>
      <c r="J18" s="11">
        <f t="shared" si="6"/>
        <v>205.8</v>
      </c>
      <c r="K18" s="11">
        <f t="shared" si="6"/>
        <v>235.2</v>
      </c>
      <c r="L18" s="11">
        <f t="shared" si="6"/>
        <v>264.6</v>
      </c>
      <c r="M18" s="11">
        <f t="shared" si="6"/>
        <v>288.414</v>
      </c>
      <c r="N18" s="11">
        <f t="shared" si="6"/>
        <v>294</v>
      </c>
      <c r="O18" s="11">
        <f t="shared" si="6"/>
        <v>352.8</v>
      </c>
      <c r="P18" s="11">
        <f t="shared" si="6"/>
        <v>411.6</v>
      </c>
      <c r="Q18" s="11">
        <f t="shared" si="6"/>
        <v>470.4</v>
      </c>
      <c r="R18" s="11">
        <f t="shared" si="6"/>
        <v>529.2</v>
      </c>
      <c r="S18" s="11">
        <f t="shared" si="6"/>
        <v>588</v>
      </c>
    </row>
    <row r="19">
      <c r="A19" s="9" t="s">
        <v>38</v>
      </c>
      <c r="B19" s="11">
        <f t="shared" ref="B19:S19" si="7">B17*$B3</f>
        <v>12.6</v>
      </c>
      <c r="C19" s="11">
        <f t="shared" si="7"/>
        <v>25.2</v>
      </c>
      <c r="D19" s="11">
        <f t="shared" si="7"/>
        <v>37.8</v>
      </c>
      <c r="E19" s="11">
        <f t="shared" si="7"/>
        <v>50.4</v>
      </c>
      <c r="F19" s="12">
        <f t="shared" si="7"/>
        <v>59.472</v>
      </c>
      <c r="G19" s="11">
        <f t="shared" si="7"/>
        <v>63</v>
      </c>
      <c r="H19" s="12">
        <f t="shared" si="7"/>
        <v>69.93</v>
      </c>
      <c r="I19" s="11">
        <f t="shared" si="7"/>
        <v>75.6</v>
      </c>
      <c r="J19" s="11">
        <f t="shared" si="7"/>
        <v>88.2</v>
      </c>
      <c r="K19" s="11">
        <f t="shared" si="7"/>
        <v>100.8</v>
      </c>
      <c r="L19" s="11">
        <f t="shared" si="7"/>
        <v>113.4</v>
      </c>
      <c r="M19" s="11">
        <f t="shared" si="7"/>
        <v>123.606</v>
      </c>
      <c r="N19" s="11">
        <f t="shared" si="7"/>
        <v>126</v>
      </c>
      <c r="O19" s="11">
        <f t="shared" si="7"/>
        <v>151.2</v>
      </c>
      <c r="P19" s="11">
        <f t="shared" si="7"/>
        <v>176.4</v>
      </c>
      <c r="Q19" s="11">
        <f t="shared" si="7"/>
        <v>201.6</v>
      </c>
      <c r="R19" s="11">
        <f t="shared" si="7"/>
        <v>226.8</v>
      </c>
      <c r="S19" s="11">
        <f t="shared" si="7"/>
        <v>252</v>
      </c>
    </row>
    <row r="20">
      <c r="A20" s="9" t="s">
        <v>41</v>
      </c>
      <c r="B20" s="11">
        <f t="shared" ref="B20:S20" si="8">B18/$B4</f>
        <v>245</v>
      </c>
      <c r="C20" s="11">
        <f t="shared" si="8"/>
        <v>490</v>
      </c>
      <c r="D20" s="11">
        <f t="shared" si="8"/>
        <v>735</v>
      </c>
      <c r="E20" s="11">
        <f t="shared" si="8"/>
        <v>980</v>
      </c>
      <c r="F20" s="12">
        <f t="shared" si="8"/>
        <v>1156.4</v>
      </c>
      <c r="G20" s="11">
        <f t="shared" si="8"/>
        <v>1225</v>
      </c>
      <c r="H20" s="12">
        <f t="shared" si="8"/>
        <v>1359.75</v>
      </c>
      <c r="I20" s="11">
        <f t="shared" si="8"/>
        <v>1470</v>
      </c>
      <c r="J20" s="11">
        <f t="shared" si="8"/>
        <v>1715</v>
      </c>
      <c r="K20" s="11">
        <f t="shared" si="8"/>
        <v>1960</v>
      </c>
      <c r="L20" s="11">
        <f t="shared" si="8"/>
        <v>2205</v>
      </c>
      <c r="M20" s="11">
        <f t="shared" si="8"/>
        <v>2403.45</v>
      </c>
      <c r="N20" s="11">
        <f t="shared" si="8"/>
        <v>2450</v>
      </c>
      <c r="O20" s="11">
        <f t="shared" si="8"/>
        <v>2940</v>
      </c>
      <c r="P20" s="11">
        <f t="shared" si="8"/>
        <v>3430</v>
      </c>
      <c r="Q20" s="11">
        <f t="shared" si="8"/>
        <v>3920</v>
      </c>
      <c r="R20" s="11">
        <f t="shared" si="8"/>
        <v>4410</v>
      </c>
      <c r="S20" s="11">
        <f t="shared" si="8"/>
        <v>4900</v>
      </c>
    </row>
    <row r="21">
      <c r="A21" s="9" t="s">
        <v>42</v>
      </c>
      <c r="B21" s="11">
        <f t="shared" ref="B21:S21" si="9">B19/$B5</f>
        <v>78.12015624</v>
      </c>
      <c r="C21" s="11">
        <f t="shared" si="9"/>
        <v>156.2403125</v>
      </c>
      <c r="D21" s="11">
        <f t="shared" si="9"/>
        <v>234.3604687</v>
      </c>
      <c r="E21" s="11">
        <f t="shared" si="9"/>
        <v>312.480625</v>
      </c>
      <c r="F21" s="12">
        <f t="shared" si="9"/>
        <v>368.7271375</v>
      </c>
      <c r="G21" s="11">
        <f t="shared" si="9"/>
        <v>390.6007812</v>
      </c>
      <c r="H21" s="12">
        <f t="shared" si="9"/>
        <v>433.5668671</v>
      </c>
      <c r="I21" s="11">
        <f t="shared" si="9"/>
        <v>468.7209374</v>
      </c>
      <c r="J21" s="11">
        <f t="shared" si="9"/>
        <v>546.8410937</v>
      </c>
      <c r="K21" s="11">
        <f t="shared" si="9"/>
        <v>624.9612499</v>
      </c>
      <c r="L21" s="11">
        <f t="shared" si="9"/>
        <v>703.0814062</v>
      </c>
      <c r="M21" s="11">
        <f t="shared" si="9"/>
        <v>766.3587327</v>
      </c>
      <c r="N21" s="11">
        <f t="shared" si="9"/>
        <v>781.2015624</v>
      </c>
      <c r="O21" s="11">
        <f t="shared" si="9"/>
        <v>937.4418749</v>
      </c>
      <c r="P21" s="11">
        <f t="shared" si="9"/>
        <v>1093.682187</v>
      </c>
      <c r="Q21" s="11">
        <f t="shared" si="9"/>
        <v>1249.9225</v>
      </c>
      <c r="R21" s="11">
        <f t="shared" si="9"/>
        <v>1406.162812</v>
      </c>
      <c r="S21" s="11">
        <f t="shared" si="9"/>
        <v>1562.403125</v>
      </c>
    </row>
    <row r="22">
      <c r="A22" s="9" t="s">
        <v>43</v>
      </c>
      <c r="B22" s="11">
        <f t="shared" ref="B22:S22" si="10">B20/$B6</f>
        <v>700</v>
      </c>
      <c r="C22" s="11">
        <f t="shared" si="10"/>
        <v>1400</v>
      </c>
      <c r="D22" s="11">
        <f t="shared" si="10"/>
        <v>2100</v>
      </c>
      <c r="E22" s="11">
        <f t="shared" si="10"/>
        <v>2800</v>
      </c>
      <c r="F22" s="12">
        <f t="shared" si="10"/>
        <v>3304</v>
      </c>
      <c r="G22" s="11">
        <f t="shared" si="10"/>
        <v>3500</v>
      </c>
      <c r="H22" s="12">
        <f t="shared" si="10"/>
        <v>3885</v>
      </c>
      <c r="I22" s="11">
        <f t="shared" si="10"/>
        <v>4200</v>
      </c>
      <c r="J22" s="11">
        <f t="shared" si="10"/>
        <v>4900</v>
      </c>
      <c r="K22" s="11">
        <f t="shared" si="10"/>
        <v>5600</v>
      </c>
      <c r="L22" s="11">
        <f t="shared" si="10"/>
        <v>6300</v>
      </c>
      <c r="M22" s="11">
        <f t="shared" si="10"/>
        <v>6867</v>
      </c>
      <c r="N22" s="11">
        <f t="shared" si="10"/>
        <v>7000</v>
      </c>
      <c r="O22" s="11">
        <f t="shared" si="10"/>
        <v>8400</v>
      </c>
      <c r="P22" s="11">
        <f t="shared" si="10"/>
        <v>9800</v>
      </c>
      <c r="Q22" s="11">
        <f t="shared" si="10"/>
        <v>11200</v>
      </c>
      <c r="R22" s="11">
        <f t="shared" si="10"/>
        <v>12600</v>
      </c>
      <c r="S22" s="11">
        <f t="shared" si="10"/>
        <v>14000</v>
      </c>
    </row>
    <row r="23">
      <c r="A23" s="9" t="s">
        <v>44</v>
      </c>
      <c r="B23" s="11">
        <f t="shared" ref="B23:S23" si="11">B21/$B7</f>
        <v>223.2004464</v>
      </c>
      <c r="C23" s="11">
        <f t="shared" si="11"/>
        <v>446.4008928</v>
      </c>
      <c r="D23" s="11">
        <f t="shared" si="11"/>
        <v>669.6013392</v>
      </c>
      <c r="E23" s="11">
        <f t="shared" si="11"/>
        <v>892.8017856</v>
      </c>
      <c r="F23" s="12">
        <f t="shared" si="11"/>
        <v>1053.506107</v>
      </c>
      <c r="G23" s="11">
        <f t="shared" si="11"/>
        <v>1116.002232</v>
      </c>
      <c r="H23" s="12">
        <f t="shared" si="11"/>
        <v>1238.762478</v>
      </c>
      <c r="I23" s="11">
        <f t="shared" si="11"/>
        <v>1339.202678</v>
      </c>
      <c r="J23" s="11">
        <f t="shared" si="11"/>
        <v>1562.403125</v>
      </c>
      <c r="K23" s="11">
        <f t="shared" si="11"/>
        <v>1785.603571</v>
      </c>
      <c r="L23" s="11">
        <f t="shared" si="11"/>
        <v>2008.804018</v>
      </c>
      <c r="M23" s="11">
        <f t="shared" si="11"/>
        <v>2189.596379</v>
      </c>
      <c r="N23" s="11">
        <f t="shared" si="11"/>
        <v>2232.004464</v>
      </c>
      <c r="O23" s="11">
        <f t="shared" si="11"/>
        <v>2678.405357</v>
      </c>
      <c r="P23" s="11">
        <f t="shared" si="11"/>
        <v>3124.80625</v>
      </c>
      <c r="Q23" s="11">
        <f t="shared" si="11"/>
        <v>3571.207142</v>
      </c>
      <c r="R23" s="11">
        <f t="shared" si="11"/>
        <v>4017.608035</v>
      </c>
      <c r="S23" s="11">
        <f t="shared" si="11"/>
        <v>4464.008928</v>
      </c>
    </row>
    <row r="24">
      <c r="A24" s="9" t="s">
        <v>45</v>
      </c>
      <c r="B24" s="11">
        <f t="shared" ref="B24:S24" si="12">B22/2</f>
        <v>350</v>
      </c>
      <c r="C24" s="11">
        <f t="shared" si="12"/>
        <v>700</v>
      </c>
      <c r="D24" s="11">
        <f t="shared" si="12"/>
        <v>1050</v>
      </c>
      <c r="E24" s="11">
        <f t="shared" si="12"/>
        <v>1400</v>
      </c>
      <c r="F24" s="12">
        <f t="shared" si="12"/>
        <v>1652</v>
      </c>
      <c r="G24" s="11">
        <f t="shared" si="12"/>
        <v>1750</v>
      </c>
      <c r="H24" s="12">
        <f t="shared" si="12"/>
        <v>1942.5</v>
      </c>
      <c r="I24" s="11">
        <f t="shared" si="12"/>
        <v>2100</v>
      </c>
      <c r="J24" s="11">
        <f t="shared" si="12"/>
        <v>2450</v>
      </c>
      <c r="K24" s="11">
        <f t="shared" si="12"/>
        <v>2800</v>
      </c>
      <c r="L24" s="11">
        <f t="shared" si="12"/>
        <v>3150</v>
      </c>
      <c r="M24" s="11">
        <f t="shared" si="12"/>
        <v>3433.5</v>
      </c>
      <c r="N24" s="11">
        <f t="shared" si="12"/>
        <v>3500</v>
      </c>
      <c r="O24" s="11">
        <f t="shared" si="12"/>
        <v>4200</v>
      </c>
      <c r="P24" s="11">
        <f t="shared" si="12"/>
        <v>4900</v>
      </c>
      <c r="Q24" s="11">
        <f t="shared" si="12"/>
        <v>5600</v>
      </c>
      <c r="R24" s="11">
        <f t="shared" si="12"/>
        <v>6300</v>
      </c>
      <c r="S24" s="11">
        <f t="shared" si="12"/>
        <v>7000</v>
      </c>
    </row>
    <row r="25">
      <c r="A25" s="9" t="s">
        <v>46</v>
      </c>
      <c r="B25" s="11">
        <f t="shared" ref="B25:S25" si="13">B23/2</f>
        <v>111.6002232</v>
      </c>
      <c r="C25" s="11">
        <f t="shared" si="13"/>
        <v>223.2004464</v>
      </c>
      <c r="D25" s="11">
        <f t="shared" si="13"/>
        <v>334.8006696</v>
      </c>
      <c r="E25" s="11">
        <f t="shared" si="13"/>
        <v>446.4008928</v>
      </c>
      <c r="F25" s="12">
        <f t="shared" si="13"/>
        <v>526.7530535</v>
      </c>
      <c r="G25" s="11">
        <f t="shared" si="13"/>
        <v>558.001116</v>
      </c>
      <c r="H25" s="12">
        <f t="shared" si="13"/>
        <v>619.3812388</v>
      </c>
      <c r="I25" s="11">
        <f t="shared" si="13"/>
        <v>669.6013392</v>
      </c>
      <c r="J25" s="11">
        <f t="shared" si="13"/>
        <v>781.2015624</v>
      </c>
      <c r="K25" s="11">
        <f t="shared" si="13"/>
        <v>892.8017856</v>
      </c>
      <c r="L25" s="11">
        <f t="shared" si="13"/>
        <v>1004.402009</v>
      </c>
      <c r="M25" s="11">
        <f t="shared" si="13"/>
        <v>1094.79819</v>
      </c>
      <c r="N25" s="11">
        <f t="shared" si="13"/>
        <v>1116.002232</v>
      </c>
      <c r="O25" s="11">
        <f t="shared" si="13"/>
        <v>1339.202678</v>
      </c>
      <c r="P25" s="11">
        <f t="shared" si="13"/>
        <v>1562.403125</v>
      </c>
      <c r="Q25" s="11">
        <f t="shared" si="13"/>
        <v>1785.603571</v>
      </c>
      <c r="R25" s="11">
        <f t="shared" si="13"/>
        <v>2008.804018</v>
      </c>
      <c r="S25" s="11">
        <f t="shared" si="13"/>
        <v>2232.004464</v>
      </c>
    </row>
    <row r="26">
      <c r="A26" s="9" t="s">
        <v>47</v>
      </c>
      <c r="B26" s="11">
        <f t="shared" ref="B26:S26" si="14">(B24+B25)/$B8</f>
        <v>76.93337053</v>
      </c>
      <c r="C26" s="11">
        <f t="shared" si="14"/>
        <v>153.8667411</v>
      </c>
      <c r="D26" s="11">
        <f t="shared" si="14"/>
        <v>230.8001116</v>
      </c>
      <c r="E26" s="11">
        <f t="shared" si="14"/>
        <v>307.7334821</v>
      </c>
      <c r="F26" s="12">
        <f t="shared" si="14"/>
        <v>363.1255089</v>
      </c>
      <c r="G26" s="11">
        <f t="shared" si="14"/>
        <v>384.6668527</v>
      </c>
      <c r="H26" s="12">
        <f t="shared" si="14"/>
        <v>426.9802065</v>
      </c>
      <c r="I26" s="11">
        <f t="shared" si="14"/>
        <v>461.6002232</v>
      </c>
      <c r="J26" s="11">
        <f t="shared" si="14"/>
        <v>538.5335937</v>
      </c>
      <c r="K26" s="11">
        <f t="shared" si="14"/>
        <v>615.4669643</v>
      </c>
      <c r="L26" s="11">
        <f t="shared" si="14"/>
        <v>692.4003348</v>
      </c>
      <c r="M26" s="11">
        <f t="shared" si="14"/>
        <v>754.7163649</v>
      </c>
      <c r="N26" s="11">
        <f t="shared" si="14"/>
        <v>769.3337053</v>
      </c>
      <c r="O26" s="11">
        <f t="shared" si="14"/>
        <v>923.2004464</v>
      </c>
      <c r="P26" s="11">
        <f t="shared" si="14"/>
        <v>1077.067187</v>
      </c>
      <c r="Q26" s="11">
        <f t="shared" si="14"/>
        <v>1230.933929</v>
      </c>
      <c r="R26" s="11">
        <f t="shared" si="14"/>
        <v>1384.80067</v>
      </c>
      <c r="S26" s="11">
        <f t="shared" si="14"/>
        <v>1538.667411</v>
      </c>
    </row>
    <row r="27">
      <c r="A27" s="9" t="s">
        <v>48</v>
      </c>
      <c r="B27" s="23">
        <f t="shared" ref="B27:S27" si="15">B26/4.448</f>
        <v>17.29617143</v>
      </c>
      <c r="C27" s="23">
        <f t="shared" si="15"/>
        <v>34.59234287</v>
      </c>
      <c r="D27" s="23">
        <f t="shared" si="15"/>
        <v>51.8885143</v>
      </c>
      <c r="E27" s="23">
        <f t="shared" si="15"/>
        <v>69.18468573</v>
      </c>
      <c r="F27" s="24">
        <f t="shared" si="15"/>
        <v>81.63792916</v>
      </c>
      <c r="G27" s="23">
        <f t="shared" si="15"/>
        <v>86.48085716</v>
      </c>
      <c r="H27" s="24">
        <f t="shared" si="15"/>
        <v>95.99375145</v>
      </c>
      <c r="I27" s="23">
        <f t="shared" si="15"/>
        <v>103.7770286</v>
      </c>
      <c r="J27" s="23">
        <f t="shared" si="15"/>
        <v>121.0732</v>
      </c>
      <c r="K27" s="23">
        <f t="shared" si="15"/>
        <v>138.3693715</v>
      </c>
      <c r="L27" s="23">
        <f t="shared" si="15"/>
        <v>155.6655429</v>
      </c>
      <c r="M27" s="23">
        <f t="shared" si="15"/>
        <v>169.6754418</v>
      </c>
      <c r="N27" s="23">
        <f t="shared" si="15"/>
        <v>172.9617143</v>
      </c>
      <c r="O27" s="23">
        <f t="shared" si="15"/>
        <v>207.5540572</v>
      </c>
      <c r="P27" s="23">
        <f t="shared" si="15"/>
        <v>242.1464001</v>
      </c>
      <c r="Q27" s="23">
        <f t="shared" si="15"/>
        <v>276.7387429</v>
      </c>
      <c r="R27" s="23">
        <f t="shared" si="15"/>
        <v>311.3310858</v>
      </c>
      <c r="S27" s="23">
        <f t="shared" si="15"/>
        <v>345.9234287</v>
      </c>
    </row>
    <row r="29">
      <c r="A29" s="9" t="s">
        <v>49</v>
      </c>
      <c r="B29" s="3" t="str">
        <f>IF(B14 &gt;= ('Weight Distribution'!B14)*$B10,"Yes","No")</f>
        <v>No</v>
      </c>
      <c r="C29" s="3" t="str">
        <f>IF(C14 &gt;= ('Weight Distribution'!C14)*$B10,"Yes","No")</f>
        <v>No</v>
      </c>
      <c r="D29" s="3" t="str">
        <f>IF(D14 &gt;= ('Weight Distribution'!D14)*$B10,"Yes","No")</f>
        <v>No</v>
      </c>
      <c r="E29" s="3" t="str">
        <f>IF(E14 &gt;= ('Weight Distribution'!E14)*$B10,"Yes","No")</f>
        <v>No</v>
      </c>
      <c r="F29" s="3" t="str">
        <f>IF(F14 &gt;= ('Weight Distribution'!E14)*$B10,"Yes","No")</f>
        <v>No</v>
      </c>
      <c r="G29" s="3" t="str">
        <f>IF(G14 &gt;= ('Weight Distribution'!F14)*$B10,"Yes","No")</f>
        <v>No</v>
      </c>
      <c r="H29" s="3" t="str">
        <f>IF(H14 &gt;= ('Weight Distribution'!G14)*$B10,"Yes","No")</f>
        <v>No</v>
      </c>
      <c r="I29" s="3" t="str">
        <f>IF(I14 &gt;= ('Weight Distribution'!H14)*$B10,"Yes","No")</f>
        <v>Yes</v>
      </c>
      <c r="J29" s="3" t="str">
        <f>IF(J14 &gt;= ('Weight Distribution'!I14)*$B10,"Yes","No")</f>
        <v>Yes</v>
      </c>
      <c r="K29" s="3" t="str">
        <f>IF(K14 &gt;= ('Weight Distribution'!J14)*$B10,"Yes","No")</f>
        <v>Yes</v>
      </c>
      <c r="L29" s="3" t="str">
        <f>IF(L14 &gt;= ('Weight Distribution'!K14)*$B10,"Yes","No")</f>
        <v>Yes</v>
      </c>
      <c r="M29" s="3" t="str">
        <f>IF(M14 &gt;= ('Weight Distribution'!L14)*$B10,"Yes","No")</f>
        <v>Yes</v>
      </c>
      <c r="N29" s="3" t="str">
        <f>IF(N14 &gt;= ('Weight Distribution'!M14)*$B10,"Yes","No")</f>
        <v>Yes</v>
      </c>
    </row>
    <row r="30">
      <c r="A30" s="9" t="s">
        <v>50</v>
      </c>
      <c r="B30" s="3" t="str">
        <f>IF(B15 &gt;= 'Weight Distribution'!B15*$B10,"Yes","No")</f>
        <v>No</v>
      </c>
      <c r="C30" s="3" t="str">
        <f>IF(C15 &gt;= 'Weight Distribution'!C15*$B10,"Yes","No")</f>
        <v>No</v>
      </c>
      <c r="D30" s="3" t="str">
        <f>IF(D15 &gt;= 'Weight Distribution'!D15*$B10,"Yes","No")</f>
        <v>No</v>
      </c>
      <c r="E30" s="3" t="str">
        <f>IF(E15 &gt;= 'Weight Distribution'!E15*$B10,"Yes","No")</f>
        <v>No</v>
      </c>
      <c r="F30" s="3" t="str">
        <f>IF(F15 &gt;= 'Weight Distribution'!E15*$B10,"Yes","No")</f>
        <v>No</v>
      </c>
      <c r="G30" s="3" t="str">
        <f>IF(G15 &gt;= 'Weight Distribution'!F15*$B10,"Yes","No")</f>
        <v>No</v>
      </c>
      <c r="H30" s="3" t="str">
        <f>IF(H15 &gt;= 'Weight Distribution'!G15*$B10,"Yes","No")</f>
        <v>No</v>
      </c>
      <c r="I30" s="3" t="str">
        <f>IF(I15 &gt;= 'Weight Distribution'!H15*$B10,"Yes","No")</f>
        <v>No</v>
      </c>
      <c r="J30" s="3" t="str">
        <f>IF(J15 &gt;= 'Weight Distribution'!I15*$B10,"Yes","No")</f>
        <v>No</v>
      </c>
      <c r="K30" s="3" t="str">
        <f>IF(K15 &gt;= 'Weight Distribution'!J15*$B10,"Yes","No")</f>
        <v>No</v>
      </c>
      <c r="L30" s="3" t="str">
        <f>IF(L15 &gt;= 'Weight Distribution'!K15*$B10,"Yes","No")</f>
        <v>Yes</v>
      </c>
      <c r="M30" s="3" t="str">
        <f>IF(M15 &gt;= 'Weight Distribution'!L15*$B10,"Yes","No")</f>
        <v>Yes</v>
      </c>
      <c r="N30" s="3" t="str">
        <f>IF(N15 &gt;= 'Weight Distribution'!M15*$B10,"Yes","No")</f>
        <v>Yes</v>
      </c>
    </row>
    <row r="31">
      <c r="A31" s="9" t="s">
        <v>51</v>
      </c>
      <c r="B31" s="17">
        <f>('Weight Distribution'!B14)*$B10</f>
        <v>1058.319231</v>
      </c>
      <c r="C31" s="17">
        <f>('Weight Distribution'!C14)*$B10</f>
        <v>1086.588462</v>
      </c>
      <c r="D31" s="17">
        <f>('Weight Distribution'!D14)*$B10</f>
        <v>1114.857692</v>
      </c>
      <c r="E31" s="17">
        <f>('Weight Distribution'!E14)*$B10</f>
        <v>1143.126923</v>
      </c>
      <c r="F31" s="17">
        <f>('Weight Distribution'!E14)*$B10</f>
        <v>1143.126923</v>
      </c>
      <c r="G31" s="17">
        <f>('Weight Distribution'!F14)*$B10</f>
        <v>1163.480769</v>
      </c>
      <c r="H31" s="17">
        <f>('Weight Distribution'!G14)*$B10</f>
        <v>1171.396154</v>
      </c>
      <c r="I31" s="17">
        <f>('Weight Distribution'!H14)*$B10</f>
        <v>1185.530769</v>
      </c>
      <c r="J31" s="17">
        <f>('Weight Distribution'!I14)*$B10</f>
        <v>1199.665385</v>
      </c>
      <c r="K31" s="17">
        <f>('Weight Distribution'!J14)*$B10</f>
        <v>1227.934615</v>
      </c>
      <c r="L31" s="17">
        <f>('Weight Distribution'!K14)*$B10</f>
        <v>1256.203846</v>
      </c>
      <c r="M31" s="17">
        <f>('Weight Distribution'!L14)*$B10</f>
        <v>1284.473077</v>
      </c>
      <c r="N31" s="17">
        <f>('Weight Distribution'!M14)*$B10</f>
        <v>1307.371154</v>
      </c>
    </row>
    <row r="32">
      <c r="A32" s="9" t="s">
        <v>52</v>
      </c>
      <c r="B32" s="17">
        <f>'Weight Distribution'!B15*$B10</f>
        <v>1001.780769</v>
      </c>
      <c r="C32" s="17">
        <f>'Weight Distribution'!C15*$B10</f>
        <v>973.5115385</v>
      </c>
      <c r="D32" s="17">
        <f>'Weight Distribution'!D15*$B10</f>
        <v>945.2423077</v>
      </c>
      <c r="E32" s="17">
        <f>'Weight Distribution'!E15*$B10</f>
        <v>916.9730769</v>
      </c>
      <c r="F32" s="17">
        <f>'Weight Distribution'!E15*$B10</f>
        <v>916.9730769</v>
      </c>
      <c r="G32" s="17">
        <f>'Weight Distribution'!F15*$B10</f>
        <v>896.6192308</v>
      </c>
      <c r="H32" s="17">
        <f>'Weight Distribution'!G15*$B10</f>
        <v>888.7038462</v>
      </c>
      <c r="I32" s="17">
        <f>'Weight Distribution'!H15*$B10</f>
        <v>874.5692308</v>
      </c>
      <c r="J32" s="17">
        <f>'Weight Distribution'!I15*$B10</f>
        <v>860.4346154</v>
      </c>
      <c r="K32" s="17">
        <f>'Weight Distribution'!J15*$B10</f>
        <v>832.1653846</v>
      </c>
      <c r="L32" s="17">
        <f>'Weight Distribution'!K15*$B10</f>
        <v>803.8961538</v>
      </c>
      <c r="M32" s="17">
        <f>'Weight Distribution'!L15*$B10</f>
        <v>775.6269231</v>
      </c>
      <c r="N32" s="17">
        <f>'Weight Distribution'!M15*$B10</f>
        <v>752.7288462</v>
      </c>
    </row>
  </sheetData>
  <conditionalFormatting sqref="B29:N30">
    <cfRule type="containsText" dxfId="0" priority="1" operator="containsText" text="Yes">
      <formula>NOT(ISERROR(SEARCH(("Yes"),(B29))))</formula>
    </cfRule>
  </conditionalFormatting>
  <conditionalFormatting sqref="B29:N30">
    <cfRule type="containsText" dxfId="1" priority="2" operator="containsText" text="No">
      <formula>NOT(ISERROR(SEARCH(("No"),(B29))))</formula>
    </cfRule>
  </conditionalFormatting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2" max="2" width="14.75"/>
    <col customWidth="1" min="5" max="5" width="18.5"/>
  </cols>
  <sheetData>
    <row r="1">
      <c r="B1" s="2" t="s">
        <v>0</v>
      </c>
    </row>
    <row r="2">
      <c r="A2" s="4" t="s">
        <v>1</v>
      </c>
      <c r="B2" s="5">
        <v>9.81</v>
      </c>
      <c r="C2" s="3"/>
    </row>
    <row r="3">
      <c r="A3" s="4" t="s">
        <v>6</v>
      </c>
      <c r="B3" s="5">
        <v>2.08</v>
      </c>
    </row>
    <row r="4">
      <c r="A4" s="4" t="s">
        <v>7</v>
      </c>
      <c r="B4" s="5">
        <f>'Brake Force Calculator'!B2</f>
        <v>300</v>
      </c>
    </row>
    <row r="5">
      <c r="A5" s="4" t="s">
        <v>20</v>
      </c>
      <c r="B5" s="5">
        <f>B4*B2</f>
        <v>2943</v>
      </c>
    </row>
    <row r="6">
      <c r="A6" s="4" t="s">
        <v>21</v>
      </c>
      <c r="B6" s="5">
        <v>1.04</v>
      </c>
    </row>
    <row r="7">
      <c r="A7" s="4" t="s">
        <v>22</v>
      </c>
      <c r="B7" s="5">
        <v>0.28</v>
      </c>
    </row>
    <row r="8">
      <c r="A8" s="4" t="s">
        <v>23</v>
      </c>
      <c r="B8" s="13">
        <f>B5*B6/B3</f>
        <v>1471.5</v>
      </c>
    </row>
    <row r="9">
      <c r="A9" s="4" t="s">
        <v>24</v>
      </c>
      <c r="B9" s="13">
        <f>B5-B8</f>
        <v>1471.5</v>
      </c>
    </row>
    <row r="10">
      <c r="A10" s="4" t="s">
        <v>25</v>
      </c>
      <c r="B10" s="14" t="str">
        <f>TEXT(100*B8/B5,"#0")&amp;":"&amp;TEXT(100*B9/B5,"#0")</f>
        <v>50:50</v>
      </c>
    </row>
    <row r="11">
      <c r="F11" s="3" t="s">
        <v>16</v>
      </c>
      <c r="H11" s="3" t="s">
        <v>27</v>
      </c>
    </row>
    <row r="12">
      <c r="A12" s="15" t="s">
        <v>28</v>
      </c>
      <c r="B12" s="13">
        <v>1.0</v>
      </c>
      <c r="C12" s="13">
        <v>2.0</v>
      </c>
      <c r="D12" s="13">
        <v>3.0</v>
      </c>
      <c r="E12" s="5">
        <v>4.0</v>
      </c>
      <c r="F12" s="16">
        <v>4.72</v>
      </c>
      <c r="G12" s="13">
        <v>5.0</v>
      </c>
      <c r="H12" s="16">
        <v>5.5</v>
      </c>
      <c r="I12" s="13">
        <v>6.0</v>
      </c>
      <c r="J12" s="13">
        <v>7.0</v>
      </c>
      <c r="K12" s="13">
        <v>8.0</v>
      </c>
      <c r="L12" s="13">
        <v>9.0</v>
      </c>
      <c r="M12" s="13">
        <v>9.81</v>
      </c>
      <c r="N12" s="13">
        <v>10.0</v>
      </c>
    </row>
    <row r="13">
      <c r="A13" s="9" t="s">
        <v>29</v>
      </c>
      <c r="B13" s="17">
        <f t="shared" ref="B13:N13" si="1">B12/$B$2*$B$7/$B$3*$B$5</f>
        <v>40.38461538</v>
      </c>
      <c r="C13" s="17">
        <f t="shared" si="1"/>
        <v>80.76923077</v>
      </c>
      <c r="D13" s="17">
        <f t="shared" si="1"/>
        <v>121.1538462</v>
      </c>
      <c r="E13" s="17">
        <f t="shared" si="1"/>
        <v>161.5384615</v>
      </c>
      <c r="F13" s="16">
        <f t="shared" si="1"/>
        <v>190.6153846</v>
      </c>
      <c r="G13" s="17">
        <f t="shared" si="1"/>
        <v>201.9230769</v>
      </c>
      <c r="H13" s="16">
        <f t="shared" si="1"/>
        <v>222.1153846</v>
      </c>
      <c r="I13" s="17">
        <f t="shared" si="1"/>
        <v>242.3076923</v>
      </c>
      <c r="J13" s="17">
        <f t="shared" si="1"/>
        <v>282.6923077</v>
      </c>
      <c r="K13" s="17">
        <f t="shared" si="1"/>
        <v>323.0769231</v>
      </c>
      <c r="L13" s="17">
        <f t="shared" si="1"/>
        <v>363.4615385</v>
      </c>
      <c r="M13" s="17">
        <f t="shared" si="1"/>
        <v>396.1730769</v>
      </c>
      <c r="N13" s="17">
        <f t="shared" si="1"/>
        <v>403.8461538</v>
      </c>
    </row>
    <row r="14">
      <c r="A14" s="9" t="s">
        <v>31</v>
      </c>
      <c r="B14" s="18">
        <f t="shared" ref="B14:N14" si="2">$B$8+B13</f>
        <v>1511.884615</v>
      </c>
      <c r="C14" s="18">
        <f t="shared" si="2"/>
        <v>1552.269231</v>
      </c>
      <c r="D14" s="18">
        <f t="shared" si="2"/>
        <v>1592.653846</v>
      </c>
      <c r="E14" s="18">
        <f t="shared" si="2"/>
        <v>1633.038462</v>
      </c>
      <c r="F14" s="19">
        <f t="shared" si="2"/>
        <v>1662.115385</v>
      </c>
      <c r="G14" s="18">
        <f t="shared" si="2"/>
        <v>1673.423077</v>
      </c>
      <c r="H14" s="19">
        <f t="shared" si="2"/>
        <v>1693.615385</v>
      </c>
      <c r="I14" s="18">
        <f t="shared" si="2"/>
        <v>1713.807692</v>
      </c>
      <c r="J14" s="18">
        <f t="shared" si="2"/>
        <v>1754.192308</v>
      </c>
      <c r="K14" s="18">
        <f t="shared" si="2"/>
        <v>1794.576923</v>
      </c>
      <c r="L14" s="18">
        <f t="shared" si="2"/>
        <v>1834.961538</v>
      </c>
      <c r="M14" s="18">
        <f t="shared" si="2"/>
        <v>1867.673077</v>
      </c>
      <c r="N14" s="18">
        <f t="shared" si="2"/>
        <v>1875.346154</v>
      </c>
    </row>
    <row r="15">
      <c r="A15" s="9" t="s">
        <v>33</v>
      </c>
      <c r="B15" s="17">
        <f t="shared" ref="B15:N15" si="3">$B$9-B13</f>
        <v>1431.115385</v>
      </c>
      <c r="C15" s="17">
        <f t="shared" si="3"/>
        <v>1390.730769</v>
      </c>
      <c r="D15" s="17">
        <f t="shared" si="3"/>
        <v>1350.346154</v>
      </c>
      <c r="E15" s="17">
        <f t="shared" si="3"/>
        <v>1309.961538</v>
      </c>
      <c r="F15" s="16">
        <f t="shared" si="3"/>
        <v>1280.884615</v>
      </c>
      <c r="G15" s="17">
        <f t="shared" si="3"/>
        <v>1269.576923</v>
      </c>
      <c r="H15" s="16">
        <f t="shared" si="3"/>
        <v>1249.384615</v>
      </c>
      <c r="I15" s="17">
        <f t="shared" si="3"/>
        <v>1229.192308</v>
      </c>
      <c r="J15" s="17">
        <f t="shared" si="3"/>
        <v>1188.807692</v>
      </c>
      <c r="K15" s="17">
        <f t="shared" si="3"/>
        <v>1148.423077</v>
      </c>
      <c r="L15" s="17">
        <f t="shared" si="3"/>
        <v>1108.038462</v>
      </c>
      <c r="M15" s="17">
        <f t="shared" si="3"/>
        <v>1075.326923</v>
      </c>
      <c r="N15" s="17">
        <f t="shared" si="3"/>
        <v>1067.653846</v>
      </c>
    </row>
    <row r="16">
      <c r="A16" s="9" t="s">
        <v>35</v>
      </c>
      <c r="B16" s="20" t="str">
        <f t="shared" ref="B16:N16" si="4">TEXT(100*B14/$B$5,"#0")&amp;":"&amp;TEXT(100*B15/$B$5,"#0")</f>
        <v>51:49</v>
      </c>
      <c r="C16" s="20" t="str">
        <f t="shared" si="4"/>
        <v>53:47</v>
      </c>
      <c r="D16" s="20" t="str">
        <f t="shared" si="4"/>
        <v>54:46</v>
      </c>
      <c r="E16" s="20" t="str">
        <f t="shared" si="4"/>
        <v>55:45</v>
      </c>
      <c r="F16" s="21" t="str">
        <f t="shared" si="4"/>
        <v>56:44</v>
      </c>
      <c r="G16" s="20" t="str">
        <f t="shared" si="4"/>
        <v>57:43</v>
      </c>
      <c r="H16" s="21" t="str">
        <f t="shared" si="4"/>
        <v>58:42</v>
      </c>
      <c r="I16" s="20" t="str">
        <f t="shared" si="4"/>
        <v>58:42</v>
      </c>
      <c r="J16" s="20" t="str">
        <f t="shared" si="4"/>
        <v>60:40</v>
      </c>
      <c r="K16" s="20" t="str">
        <f t="shared" si="4"/>
        <v>61:39</v>
      </c>
      <c r="L16" s="20" t="str">
        <f t="shared" si="4"/>
        <v>62:38</v>
      </c>
      <c r="M16" s="20" t="str">
        <f t="shared" si="4"/>
        <v>63:37</v>
      </c>
      <c r="N16" s="20" t="str">
        <f t="shared" si="4"/>
        <v>64:36</v>
      </c>
    </row>
    <row r="17">
      <c r="A17" s="9" t="s">
        <v>37</v>
      </c>
      <c r="B17" s="20">
        <f t="shared" ref="B17:N17" si="5">B14/B15</f>
        <v>1.056437959</v>
      </c>
      <c r="C17" s="20">
        <f t="shared" si="5"/>
        <v>1.116153655</v>
      </c>
      <c r="D17" s="20">
        <f t="shared" si="5"/>
        <v>1.179441169</v>
      </c>
      <c r="E17" s="20">
        <f t="shared" si="5"/>
        <v>1.246630846</v>
      </c>
      <c r="F17" s="21">
        <f t="shared" si="5"/>
        <v>1.297630844</v>
      </c>
      <c r="G17" s="20">
        <f t="shared" si="5"/>
        <v>1.318095065</v>
      </c>
      <c r="H17" s="21">
        <f t="shared" si="5"/>
        <v>1.35555966</v>
      </c>
      <c r="I17" s="20">
        <f t="shared" si="5"/>
        <v>1.394255139</v>
      </c>
      <c r="J17" s="20">
        <f t="shared" si="5"/>
        <v>1.475589634</v>
      </c>
      <c r="K17" s="20">
        <f t="shared" si="5"/>
        <v>1.562644429</v>
      </c>
      <c r="L17" s="20">
        <f t="shared" si="5"/>
        <v>1.656044986</v>
      </c>
      <c r="M17" s="20">
        <f t="shared" si="5"/>
        <v>1.736842105</v>
      </c>
      <c r="N17" s="20">
        <f t="shared" si="5"/>
        <v>1.756511402</v>
      </c>
    </row>
    <row r="18">
      <c r="A18" s="22" t="s">
        <v>39</v>
      </c>
    </row>
    <row r="19">
      <c r="A19" s="22" t="s">
        <v>40</v>
      </c>
    </row>
    <row r="20">
      <c r="A20" s="3"/>
      <c r="E20" s="20"/>
    </row>
    <row r="21">
      <c r="E21" s="20"/>
    </row>
    <row r="22">
      <c r="E22" s="20"/>
    </row>
    <row r="23">
      <c r="E23" s="20"/>
    </row>
    <row r="24">
      <c r="E24" s="20"/>
    </row>
    <row r="25">
      <c r="E25" s="20"/>
    </row>
    <row r="26">
      <c r="E26" s="20"/>
    </row>
    <row r="27">
      <c r="A27" s="22"/>
      <c r="E27" s="20"/>
    </row>
    <row r="28">
      <c r="A28" s="22"/>
      <c r="E28" s="20"/>
    </row>
    <row r="29">
      <c r="E29" s="20"/>
    </row>
  </sheetData>
  <drawing r:id="rId1"/>
</worksheet>
</file>