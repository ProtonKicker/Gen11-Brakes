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<sst xmlns="http://schemas.openxmlformats.org/spreadsheetml/2006/main" count="27" uniqueCount="23">
  <si>
    <t>Brake Pedal Force Calculator</t>
  </si>
  <si>
    <t>inputs</t>
  </si>
  <si>
    <t>outputs</t>
  </si>
  <si>
    <t>Known Variables</t>
  </si>
  <si>
    <t>Foot Force</t>
  </si>
  <si>
    <t>LA</t>
  </si>
  <si>
    <t>LB</t>
  </si>
  <si>
    <t>Foot Force Components</t>
  </si>
  <si>
    <t>LC</t>
  </si>
  <si>
    <t xml:space="preserve">x </t>
  </si>
  <si>
    <t>θ (degrees)</t>
  </si>
  <si>
    <t>y</t>
  </si>
  <si>
    <t>θ (radians)</t>
  </si>
  <si>
    <t>Pedal Ratio</t>
  </si>
  <si>
    <t>Pivot Force</t>
  </si>
  <si>
    <t>Unknown Variables</t>
  </si>
  <si>
    <t>Pivot Force Components</t>
  </si>
  <si>
    <t>β (degrees)</t>
  </si>
  <si>
    <t>x</t>
  </si>
  <si>
    <t>β (radians)</t>
  </si>
  <si>
    <t>MC Force</t>
  </si>
  <si>
    <t>Master Cylinder Force</t>
  </si>
  <si>
    <t>Master Cylinder Force Components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</si>
</sst>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8.0"/>
      <color theme="1"/>
      <name val="Courier New"/>
    </font>
    <font>
      <i/>
      <color theme="1"/>
      <name val="Merriweathe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Merriweather"/>
    </font>
    <font>
      <color rgb="FF000000"/>
      <name val="Arial"/>
    </font>
    <font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1" fillId="0" fontId="5" numFmtId="0" xfId="0" applyAlignment="1" applyBorder="1" applyFont="1">
      <alignment readingOrder="0"/>
    </xf>
    <xf borderId="2" fillId="0" fontId="4" numFmtId="0" xfId="0" applyBorder="1" applyFont="1"/>
    <xf borderId="2" fillId="0" fontId="3" numFmtId="0" xfId="0" applyBorder="1" applyFont="1"/>
    <xf borderId="3" fillId="0" fontId="3" numFmtId="0" xfId="0" applyAlignment="1" applyBorder="1" applyFont="1">
      <alignment readingOrder="0"/>
    </xf>
    <xf borderId="4" fillId="2" fontId="3" numFmtId="0" xfId="0" applyAlignment="1" applyBorder="1" applyFill="1" applyFont="1">
      <alignment readingOrder="0"/>
    </xf>
    <xf borderId="5" fillId="2" fontId="3" numFmtId="0" xfId="0" applyAlignment="1" applyBorder="1" applyFill="1" applyFont="1">
      <alignment readingOrder="0"/>
    </xf>
    <xf borderId="6" fillId="0" fontId="3" numFmtId="0" xfId="0" applyBorder="1" applyFont="1"/>
    <xf borderId="4" fillId="0" fontId="3" numFmtId="0" xfId="0" applyBorder="1" applyFont="1"/>
    <xf borderId="3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5" fillId="4" fontId="6" numFmtId="0" xfId="0" applyAlignment="1" applyBorder="1" applyFill="1" applyFont="1">
      <alignment horizontal="left" readingOrder="0"/>
    </xf>
    <xf borderId="5" fillId="0" fontId="3" numFmtId="0" xfId="0" applyAlignment="1" applyBorder="1" applyFont="1">
      <alignment readingOrder="0"/>
    </xf>
    <xf borderId="5" fillId="3" fontId="3" numFmtId="0" xfId="0" applyBorder="1" applyFill="1" applyFont="1"/>
    <xf borderId="3" fillId="0" fontId="3" numFmtId="0" xfId="0" applyAlignment="1" applyBorder="1" applyFont="1">
      <alignment horizontal="left" readingOrder="0"/>
    </xf>
    <xf borderId="3" fillId="4" fontId="7" numFmtId="0" xfId="0" applyAlignment="1" applyBorder="1" applyFill="1" applyFont="1">
      <alignment horizontal="left" readingOrder="0"/>
    </xf>
    <xf borderId="3" fillId="0" fontId="7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1</xdr:row>
      <xdr:rowOff>19050</xdr:rowOff>
    </xdr:from>
    <xdr:ext cx="6591300" cy="48101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3" max="3" width="2.88"/>
    <col customWidth="1" min="4" max="4" width="11.13"/>
    <col customWidth="1" min="5" max="5" width="15.75"/>
    <col customWidth="1" min="6" max="6" width="11.0"/>
    <col customWidth="1" min="7" max="7" width="10.63"/>
    <col customWidth="1" min="8" max="8" width="10.88"/>
    <col customWidth="1" min="9" max="9" width="8.88"/>
    <col customWidth="1" min="11" max="11" width="14.25"/>
  </cols>
  <sheetData>
    <row r="1">
      <c r="A1" s="1" t="s">
        <v>0</v>
      </c>
    </row>
    <row r="2">
      <c r="A2" s="2" t="s">
        <v>1</v>
      </c>
      <c r="B2" s="3" t="s">
        <v>2</v>
      </c>
      <c r="D2" s="4"/>
    </row>
    <row r="3"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3</v>
      </c>
      <c r="B4" s="7"/>
      <c r="D4" s="6" t="s">
        <v>4</v>
      </c>
      <c r="E4" s="8"/>
    </row>
    <row r="5">
      <c r="A5" s="9" t="s">
        <v>5</v>
      </c>
      <c r="B5" s="10">
        <v>1.5</v>
      </c>
      <c r="D5" s="11">
        <v>890.0</v>
      </c>
      <c r="E5" s="12"/>
    </row>
    <row r="6">
      <c r="A6" s="9" t="s">
        <v>6</v>
      </c>
      <c r="B6" s="10">
        <v>6.0</v>
      </c>
      <c r="D6" s="9" t="s">
        <v>7</v>
      </c>
      <c r="E6" s="13"/>
    </row>
    <row r="7">
      <c r="A7" s="9" t="s">
        <v>8</v>
      </c>
      <c r="B7" s="10">
        <v>3.0</v>
      </c>
      <c r="D7" s="14" t="s">
        <v>9</v>
      </c>
      <c r="E7" s="13">
        <f> D5*cos(B9)</f>
        <v>836.3264325</v>
      </c>
    </row>
    <row r="8">
      <c r="A8" s="9" t="s">
        <v>10</v>
      </c>
      <c r="B8" s="10">
        <v>20.0</v>
      </c>
      <c r="D8" s="15" t="s">
        <v>11</v>
      </c>
      <c r="E8" s="12">
        <f> D5*sin(B9)</f>
        <v>304.3979276</v>
      </c>
    </row>
    <row r="9">
      <c r="A9" s="16" t="s">
        <v>12</v>
      </c>
      <c r="B9" s="12">
        <f>radians(B8)</f>
        <v>0.3490658504</v>
      </c>
    </row>
    <row r="10">
      <c r="A10" s="17" t="s">
        <v>13</v>
      </c>
      <c r="B10" s="12">
        <f> B6/B5</f>
        <v>4</v>
      </c>
      <c r="D10" s="6" t="s">
        <v>14</v>
      </c>
      <c r="E10" s="8"/>
    </row>
    <row r="11" ht="13.5" customHeight="1">
      <c r="D11" s="18">
        <f> SQRT((D17+E7)^2+(E8)^2)</f>
        <v>4800.089446</v>
      </c>
      <c r="E11" s="12"/>
    </row>
    <row r="12">
      <c r="A12" s="6" t="s">
        <v>15</v>
      </c>
      <c r="B12" s="8"/>
      <c r="D12" s="19" t="s">
        <v>16</v>
      </c>
      <c r="E12" s="13"/>
    </row>
    <row r="13">
      <c r="A13" s="20" t="s">
        <v>17</v>
      </c>
      <c r="B13" s="13">
        <f> degrees(B14)</f>
        <v>3.635854601</v>
      </c>
      <c r="D13" s="14" t="s">
        <v>18</v>
      </c>
      <c r="E13" s="13">
        <f> D11*cos(B14)</f>
        <v>4790.428018</v>
      </c>
    </row>
    <row r="14">
      <c r="A14" s="21" t="s">
        <v>19</v>
      </c>
      <c r="B14" s="13">
        <f> atan(E8/(D17+E7))</f>
        <v>0.06345763391</v>
      </c>
      <c r="D14" s="15" t="s">
        <v>11</v>
      </c>
      <c r="E14" s="12">
        <f> D11*sin(B14)</f>
        <v>304.3979276</v>
      </c>
    </row>
    <row r="15">
      <c r="A15" s="9" t="s">
        <v>14</v>
      </c>
      <c r="B15" s="13"/>
    </row>
    <row r="16">
      <c r="A16" s="17" t="s">
        <v>20</v>
      </c>
      <c r="B16" s="12"/>
      <c r="D16" s="6" t="s">
        <v>21</v>
      </c>
      <c r="E16" s="7"/>
    </row>
    <row r="17">
      <c r="D17" s="18">
        <f> ((E7*B6)+(E8*B7))/B5</f>
        <v>3954.101585</v>
      </c>
      <c r="E17" s="12"/>
    </row>
    <row r="18">
      <c r="D18" s="22" t="s">
        <v>22</v>
      </c>
      <c r="E18" s="8"/>
    </row>
    <row r="19">
      <c r="D19" s="14" t="s">
        <v>18</v>
      </c>
      <c r="E19" s="13">
        <f> D17</f>
        <v>3954.101585</v>
      </c>
    </row>
    <row r="20">
      <c r="D20" s="15" t="s">
        <v>11</v>
      </c>
      <c r="E20" s="12">
        <f> 0</f>
        <v>0</v>
      </c>
    </row>
  </sheetData>
  <conditionalFormatting sqref="F1:F1000">
    <cfRule type="notContainsBlanks" dxfId="0" priority="1">
      <formula>LEN(TRIM(F1))&gt;0</formula>
    </cfRule>
  </conditionalFormatting>
  <drawing r:id="rId1"/>
</worksheet>
</file>