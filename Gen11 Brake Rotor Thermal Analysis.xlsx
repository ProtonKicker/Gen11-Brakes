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tc={34537295-e392-4d53-a5fc-02a0d4a66735}</author>
    <author>tc={98beff2c-04e8-4e32-8738-6c0b9d17aa44}</author>
    <author>tc={d5b6a262-b6f7-4535-af46-154727ceb945}</author>
    <author>tc={9785046a-6681-4437-9780-f21afb8102d4}</author>
    <author>tc={ea75f070-c778-476e-a0ae-7b3dc513e837}</author>
    <author>tc={8f74aae6-028c-474a-bc20-412b2904176f}</author>
    <author>tc={1a97b79e-a7cc-45f1-92e4-0e140098f6a2}</author>
    <author>tc={53cf35e0-d68f-47f2-96f9-2c03bded3a89}</author>
  </authors>
  <commentList>
    <comment ref="B4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
Reply:
	i just realized they are from tachyon. its the template: 
https://docs.google.com/spreadsheets/d/1740IMP72npP8d8RXEgTmuHjHMAVGbq9tUMgu0_a3j6A/edit?gid=0#gid=0
</t>
        </r>
      </text>
    </comment>
    <comment ref="I4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but the sum of those 2 is larger than 2753.8?
Reply:
	those are from tachyon
</t>
        </r>
      </text>
    </comment>
    <comment ref="B9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 = 0.5 * m * v^2
m = (1200+1800)/9.81 = 305.81
e = 0.5 * 305.81 * 30 ^ 2 = 137614.5
137614.5 &gt; 126450 ?
wait um i realized theres the total weight
m = 2753.8/9.81 = 280.714
e = 0.5 * 280.714 * 30 ^2 = 126321.3
okay now it works out
</t>
        </r>
      </text>
    </comment>
    <comment ref="F10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seems too light
</t>
        </r>
      </text>
    </comment>
    <comment ref="I14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breaking power?
</t>
        </r>
      </text>
    </comment>
    <comment ref="I17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"11851.85185" is for sure wrong
</t>
        </r>
      </text>
    </comment>
    <comment ref="K17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more plausible i guess? 
used F * S = W
but heres constant heat dissipation right
</t>
        </r>
      </text>
    </comment>
    <comment ref="I18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references are weird. definitely wrong. its was reference the front stuff
</t>
        </r>
      </text>
    </comment>
  </commentList>
</comments>
</file>

<file path=xl/sharedStrings.xml><?xml version="1.0" encoding="utf-8"?>
<sst xmlns="http://schemas.openxmlformats.org/spreadsheetml/2006/main" count="74" uniqueCount="68">
  <si>
    <t>acount for dynamic weight tranfer</t>
  </si>
  <si>
    <t>1g slow down</t>
  </si>
  <si>
    <t>Down Hill Constant Speed</t>
  </si>
  <si>
    <t>This test doesn't work without convection numbers</t>
  </si>
  <si>
    <t>Static Weight Back (N)</t>
  </si>
  <si>
    <t>these r wrong</t>
  </si>
  <si>
    <t>Total Weight (N)</t>
  </si>
  <si>
    <t>Weight Back (N)</t>
  </si>
  <si>
    <t>adding front and back</t>
  </si>
  <si>
    <t>Static Weight Front (N)</t>
  </si>
  <si>
    <t>Weight Front (N)</t>
  </si>
  <si>
    <t>Dynamic Weight Back</t>
  </si>
  <si>
    <t>Total Mass (kg)</t>
  </si>
  <si>
    <t>Dynamic Weight Front</t>
  </si>
  <si>
    <t>Vehicle Speed (m/s)</t>
  </si>
  <si>
    <t>Specific Heat Ductile Iron (J/kg*K)</t>
  </si>
  <si>
    <t>Vehicle KE (J)</t>
  </si>
  <si>
    <t>Hill Angle (deg)</t>
  </si>
  <si>
    <t>Deceleration (m/s^2)</t>
  </si>
  <si>
    <t>Front Rotor Mass (kg)</t>
  </si>
  <si>
    <t>aug18 update mass</t>
  </si>
  <si>
    <t>distance (km)</t>
  </si>
  <si>
    <t>Total Braking Power (W)</t>
  </si>
  <si>
    <t>Total Braking Force (N)</t>
  </si>
  <si>
    <t>Braking Power: one front rotor  (W)</t>
  </si>
  <si>
    <t>Back Rotor Mass (kg)</t>
  </si>
  <si>
    <t>6/11/26 updated mass</t>
  </si>
  <si>
    <t>Braking Force: one rear rotor  (N)</t>
  </si>
  <si>
    <t>*Find proper brake bias numbers</t>
  </si>
  <si>
    <t>Braking Power: one rear rotor  (W)</t>
  </si>
  <si>
    <t>Braking Force: one front rotor  (N)</t>
  </si>
  <si>
    <t>Duration of Braking event (s)</t>
  </si>
  <si>
    <t>Ambient Temperature (K)</t>
  </si>
  <si>
    <t>Braking Force: one rear rotor  (kW)</t>
  </si>
  <si>
    <t>Front Rotor delta T (K)</t>
  </si>
  <si>
    <t>Braking Force: one front rotor  (kW)</t>
  </si>
  <si>
    <t>braking power front (W)</t>
  </si>
  <si>
    <t>Rear Rotor delta T (K)</t>
  </si>
  <si>
    <t>Brake Pad Area (in^2)</t>
  </si>
  <si>
    <t>Front Rotor T Final (K,F)</t>
  </si>
  <si>
    <t>*in^2, pad swept area on both sides combined</t>
  </si>
  <si>
    <t>should be F * S or P * T, not S * T</t>
  </si>
  <si>
    <t>Rear Rotor T Final (K,F)</t>
  </si>
  <si>
    <t>*m^2, pad swept area on both sides combined</t>
  </si>
  <si>
    <t>Heat Flux: one rear rotor (W/m^2)</t>
  </si>
  <si>
    <t>calc bias number</t>
  </si>
  <si>
    <t>derived from m^2,
more accurate</t>
  </si>
  <si>
    <t>static = incline induced load + braking induced load</t>
  </si>
  <si>
    <t>Dynamic Weight = Static Weight + Shifted Weight</t>
  </si>
  <si>
    <t>W static - Front</t>
  </si>
  <si>
    <t>W static - Rear</t>
  </si>
  <si>
    <t>1g breaking force total</t>
  </si>
  <si>
    <t>f=ma</t>
  </si>
  <si>
    <t>1g breaking force rear</t>
  </si>
  <si>
    <t>W incline</t>
  </si>
  <si>
    <t>0.8g breaking force rear</t>
  </si>
  <si>
    <t>W braking</t>
  </si>
  <si>
    <t>1g braking force front</t>
  </si>
  <si>
    <t>1g braking front / 2</t>
  </si>
  <si>
    <t>Total Front Dynamic Weight</t>
  </si>
  <si>
    <t>Total Rear Dynamic Weight</t>
  </si>
  <si>
    <t>Front Bias</t>
  </si>
  <si>
    <t>or percentage</t>
  </si>
  <si>
    <t>Rear Bias</t>
  </si>
  <si>
    <t>Center of mass height (m)</t>
  </si>
  <si>
    <t>18.9in</t>
  </si>
  <si>
    <t>Dist between front &amp; rear wheels (m)</t>
  </si>
  <si>
    <t>from vdr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</si>
</sst>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</font>
    <font>
      <sz val="10"/>
      <name val="Arial"/>
      <charset val="134"/>
    </font>
    <font>
      <sz val="14"/>
      <color rgb="FF000000"/>
      <name val="'Trebuchet MS'"/>
      <charset val="134"/>
    </font>
    <font>
      <sz val="10"/>
      <name val="Google Sans Text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1" xfId="0" applyFont="1" applyFill="1" applyBorder="1" applyAlignment="1">
      <alignment wrapText="1"/>
    </xf>
    <xf numFmtId="2" fontId="1" fillId="0" borderId="0" xfId="0" applyNumberFormat="1" applyFont="1" applyAlignment="1">
      <alignment wrapText="1"/>
    </xf>
    <xf numFmtId="0" fontId="2" fillId="0" borderId="0" xfId="0" applyFont="1" applyAlignment="1"/>
    <xf numFmtId="0" fontId="0" fillId="5" borderId="1" xfId="0" applyFont="1" applyFill="1" applyBorder="1" applyAlignment="1">
      <alignment horizontal="left" wrapText="1"/>
    </xf>
    <xf numFmtId="0" fontId="3" fillId="0" borderId="0" xfId="0" applyFont="1" applyAlignment="1"/>
    <xf numFmtId="0" fontId="1" fillId="6" borderId="1" xfId="0" applyFont="1" applyFill="1" applyBorder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0" borderId="1" xfId="0" applyFont="1" applyBorder="1" applyAlignment="1"/>
    <xf numFmtId="0" fontId="1" fillId="8" borderId="1" xfId="0" applyFont="1" applyFill="1" applyBorder="1" applyAlignment="1">
      <alignment wrapText="1"/>
    </xf>
    <xf numFmtId="3" fontId="1" fillId="0" borderId="0" xfId="0" applyNumberFormat="1" applyFont="1" applyAlignment="1">
      <alignment wrapText="1"/>
    </xf>
    <xf numFmtId="0" fontId="1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wrapText="1"/>
    </xf>
    <xf numFmtId="0" fontId="1" fillId="0" borderId="0" xfId="0" applyFont="1" applyAlignment="1">
      <alignment horizontal="left" vertical="center" wrapText="1"/>
    </xf>
    <xf numFmtId="2" fontId="1" fillId="7" borderId="0" xfId="0" applyNumberFormat="1" applyFont="1" applyFill="1" applyAlignment="1">
      <alignment wrapText="1"/>
    </xf>
    <xf numFmtId="0" fontId="1" fillId="7" borderId="0" xfId="0" applyFont="1" applyFill="1"/>
    <xf numFmtId="0" fontId="1" fillId="7" borderId="0" xfId="0" applyFont="1" applyFill="1" applyAlignment="1"/>
    <xf numFmtId="2" fontId="1" fillId="7" borderId="0" xfId="0" applyNumberFormat="1" applyFont="1" applyFill="1"/>
    <xf numFmtId="0" fontId="4" fillId="7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2"/>
  <sheetViews>
    <sheetView tabSelected="1" workbookViewId="0">
      <selection activeCell="A1" sqref="A1"/>
    </sheetView>
  </sheetViews>
  <sheetFormatPr defaultColWidth="12.6306306306306" defaultRowHeight="15.75" customHeight="1"/>
  <cols>
    <col min="1" max="1" width="18.7477477477477" customWidth="1"/>
    <col min="9" max="9" width="18.8828828828829" customWidth="1"/>
    <col min="13" max="13" width="21.5045045045045" customWidth="1"/>
    <col min="14" max="14" width="40.2522522522523" customWidth="1"/>
  </cols>
  <sheetData>
    <row r="1" ht="12.4" spans="1:25">
      <c r="A1" s="1" t="s">
        <v>0</v>
      </c>
      <c r="B1" s="2"/>
      <c r="C1" s="2"/>
      <c r="D1" s="2"/>
      <c r="E1" s="2"/>
      <c r="F1" s="2"/>
      <c r="G1" s="2"/>
      <c r="H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.4" spans="1:25">
      <c r="A2" s="2"/>
      <c r="B2" s="2"/>
      <c r="C2" s="3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62.15" spans="1:25">
      <c r="A3" s="4" t="s">
        <v>1</v>
      </c>
      <c r="B3" s="5"/>
      <c r="C3" s="3"/>
      <c r="D3" s="2"/>
      <c r="E3" s="2"/>
      <c r="F3" s="2"/>
      <c r="G3" s="2"/>
      <c r="H3" s="3"/>
      <c r="I3" s="3"/>
      <c r="J3" s="6" t="s">
        <v>2</v>
      </c>
      <c r="K3" s="7" t="s">
        <v>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4.85" spans="1:25">
      <c r="A4" s="5" t="s">
        <v>4</v>
      </c>
      <c r="B4" s="8">
        <f>F4-B5</f>
        <v>961.38</v>
      </c>
      <c r="C4" s="3" t="s">
        <v>5</v>
      </c>
      <c r="D4" s="2"/>
      <c r="E4" s="5" t="s">
        <v>6</v>
      </c>
      <c r="F4" s="5">
        <v>2756.61</v>
      </c>
      <c r="G4" s="2"/>
      <c r="H4" s="3"/>
      <c r="I4" s="3" t="s">
        <v>7</v>
      </c>
      <c r="J4" s="9">
        <f>(F4/2.3)*(0.8022*COS(RADIANS(J9))-0.473*SIN(RADIANS(J9)))</f>
        <v>781.971501270258</v>
      </c>
      <c r="K4" s="3"/>
      <c r="L4" s="3"/>
      <c r="M4" s="3" t="s">
        <v>8</v>
      </c>
      <c r="N4" s="10"/>
      <c r="O4" s="3"/>
      <c r="Q4" s="3"/>
      <c r="R4" s="3"/>
      <c r="S4" s="3"/>
      <c r="T4" s="3"/>
      <c r="U4" s="3"/>
      <c r="V4" s="3"/>
      <c r="W4" s="3"/>
      <c r="X4" s="3"/>
      <c r="Y4" s="3"/>
    </row>
    <row r="5" ht="17.55" spans="1:25">
      <c r="A5" s="5" t="s">
        <v>9</v>
      </c>
      <c r="B5" s="10">
        <f>183*9.81</f>
        <v>1795.23</v>
      </c>
      <c r="C5" s="3"/>
      <c r="D5" s="2"/>
      <c r="E5" s="2"/>
      <c r="F5" s="2"/>
      <c r="G5" s="2"/>
      <c r="H5" s="3"/>
      <c r="I5" s="3" t="s">
        <v>10</v>
      </c>
      <c r="J5" s="9">
        <f>(F4/2.3)*(1.4978*COS(RADIANS(J9))+0.473*SIN(RADIANS(J9)))</f>
        <v>1880.70929073645</v>
      </c>
      <c r="L5" s="3"/>
      <c r="M5" s="9">
        <f>J4+J5</f>
        <v>2662.68079200671</v>
      </c>
      <c r="O5" s="3"/>
      <c r="Q5" s="3"/>
      <c r="R5" s="3"/>
      <c r="S5" s="3"/>
      <c r="T5" s="3"/>
      <c r="U5" s="3"/>
      <c r="V5" s="3"/>
      <c r="W5" s="3"/>
      <c r="X5" s="3"/>
      <c r="Y5" s="3"/>
    </row>
    <row r="6" ht="24.85" spans="1:25">
      <c r="A6" s="1" t="s">
        <v>11</v>
      </c>
      <c r="B6" s="3"/>
      <c r="C6" s="3"/>
      <c r="D6" s="2"/>
      <c r="E6" s="5" t="s">
        <v>12</v>
      </c>
      <c r="F6" s="5">
        <f>F4/9.8</f>
        <v>281.286734693878</v>
      </c>
      <c r="G6" s="2"/>
      <c r="H6" s="3"/>
      <c r="I6" s="1" t="s">
        <v>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.4" spans="1:25">
      <c r="A7" s="1" t="s">
        <v>13</v>
      </c>
      <c r="B7" s="3"/>
      <c r="C7" s="3"/>
      <c r="D7" s="2"/>
      <c r="E7" s="2"/>
      <c r="F7" s="2"/>
      <c r="G7" s="2"/>
      <c r="H7" s="3"/>
      <c r="I7" s="1" t="s">
        <v>13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7.3" spans="1:25">
      <c r="A8" s="5" t="s">
        <v>14</v>
      </c>
      <c r="B8" s="5">
        <v>30</v>
      </c>
      <c r="C8" s="3"/>
      <c r="D8" s="2"/>
      <c r="E8" s="11" t="s">
        <v>15</v>
      </c>
      <c r="F8" s="5">
        <v>450</v>
      </c>
      <c r="G8" s="2"/>
      <c r="H8" s="3"/>
      <c r="I8" s="3" t="s">
        <v>14</v>
      </c>
      <c r="J8" s="3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.45" spans="1:25">
      <c r="A9" s="5" t="s">
        <v>16</v>
      </c>
      <c r="B9" s="5">
        <f>(0.5*(F4/9.8)*B8^2)</f>
        <v>126579.030612245</v>
      </c>
      <c r="C9" s="3"/>
      <c r="D9" s="2"/>
      <c r="E9" s="2"/>
      <c r="F9" s="2"/>
      <c r="G9" s="2"/>
      <c r="H9" s="3"/>
      <c r="I9" s="3" t="s">
        <v>17</v>
      </c>
      <c r="J9" s="3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.85" spans="1:25">
      <c r="A10" s="5" t="s">
        <v>18</v>
      </c>
      <c r="B10" s="5">
        <v>10</v>
      </c>
      <c r="C10" s="3"/>
      <c r="D10" s="2"/>
      <c r="E10" s="5" t="s">
        <v>19</v>
      </c>
      <c r="F10" s="12">
        <v>0.6396</v>
      </c>
      <c r="G10" s="3" t="s">
        <v>20</v>
      </c>
      <c r="H10" s="3"/>
      <c r="I10" s="3" t="s">
        <v>21</v>
      </c>
      <c r="J10" s="3">
        <v>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.85" spans="1:25">
      <c r="A11" s="5" t="s">
        <v>22</v>
      </c>
      <c r="B11" s="5">
        <f>B9/(B8/B10)</f>
        <v>42193.0102040816</v>
      </c>
      <c r="C11" s="3"/>
      <c r="D11" s="2"/>
      <c r="E11" s="2"/>
      <c r="F11" s="2"/>
      <c r="G11" s="2"/>
      <c r="H11" s="3"/>
      <c r="I11" s="3" t="s">
        <v>23</v>
      </c>
      <c r="J11" s="3">
        <f>F4*SIN(RADIANS(3.5))</f>
        <v>168.287014567182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37.3" spans="1:25">
      <c r="A12" s="5" t="s">
        <v>24</v>
      </c>
      <c r="B12" s="13">
        <f>($B$5/$F$4)*$B$11/2</f>
        <v>13739.0051020408</v>
      </c>
      <c r="C12" s="3"/>
      <c r="D12" s="2"/>
      <c r="E12" s="11" t="s">
        <v>25</v>
      </c>
      <c r="F12" s="5">
        <v>1.87</v>
      </c>
      <c r="G12" s="3" t="s">
        <v>26</v>
      </c>
      <c r="H12" s="3"/>
      <c r="I12" s="3" t="s">
        <v>27</v>
      </c>
      <c r="J12" s="14">
        <f>J11/N32</f>
        <v>37.7904985604509</v>
      </c>
      <c r="K12" s="3"/>
      <c r="L12" s="15" t="s">
        <v>28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.85" spans="1:25">
      <c r="A13" s="5" t="s">
        <v>29</v>
      </c>
      <c r="B13" s="13">
        <f>(B4/F4)*B11</f>
        <v>14715</v>
      </c>
      <c r="C13" s="3"/>
      <c r="D13" s="2"/>
      <c r="E13" s="2"/>
      <c r="F13" s="2"/>
      <c r="G13" s="2"/>
      <c r="H13" s="3"/>
      <c r="I13" s="3" t="s">
        <v>30</v>
      </c>
      <c r="J13" s="14">
        <f>J11/N31</f>
        <v>130.496516006731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37.3" spans="1:25">
      <c r="A14" s="5" t="s">
        <v>31</v>
      </c>
      <c r="B14" s="5">
        <f>B8/B10</f>
        <v>3</v>
      </c>
      <c r="C14" s="3"/>
      <c r="D14" s="2"/>
      <c r="E14" s="5" t="s">
        <v>32</v>
      </c>
      <c r="F14" s="5">
        <v>311</v>
      </c>
      <c r="G14" s="2"/>
      <c r="H14" s="3"/>
      <c r="I14" s="3" t="s">
        <v>33</v>
      </c>
      <c r="J14" s="3">
        <f>(J12*J10)/((J10*1000)/J8)</f>
        <v>0.944762464011272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.85" spans="1:25">
      <c r="A15" s="5" t="s">
        <v>34</v>
      </c>
      <c r="B15" s="5">
        <f>(B12*$B$14)/($F$8*$F$10)</f>
        <v>143.204139066508</v>
      </c>
      <c r="C15" s="3"/>
      <c r="D15" s="2"/>
      <c r="E15" s="2"/>
      <c r="F15" s="2"/>
      <c r="G15" s="2"/>
      <c r="H15" s="3"/>
      <c r="I15" s="3" t="s">
        <v>35</v>
      </c>
      <c r="J15" s="3">
        <f>(J13*J10)/((J10*1000)/J8)</f>
        <v>3.26241290016827</v>
      </c>
      <c r="K15" s="3"/>
      <c r="L15" s="3"/>
      <c r="M15" s="3"/>
      <c r="N15" s="3" t="s">
        <v>36</v>
      </c>
      <c r="O15" s="3">
        <f>J15*1000</f>
        <v>3262.41290016827</v>
      </c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.85" spans="1:25">
      <c r="A16" s="5" t="s">
        <v>37</v>
      </c>
      <c r="B16" s="5">
        <f>(B13*$B$14)/($F$8*$F$12)</f>
        <v>52.4598930481283</v>
      </c>
      <c r="C16" s="3"/>
      <c r="D16" s="2"/>
      <c r="E16" s="16" t="s">
        <v>38</v>
      </c>
      <c r="F16" s="16">
        <v>2.37</v>
      </c>
      <c r="G16" s="2"/>
      <c r="H16" s="3"/>
      <c r="I16" s="3" t="s">
        <v>31</v>
      </c>
      <c r="J16" s="3">
        <f>J10*1000/J8</f>
        <v>320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49.7" spans="1:25">
      <c r="A17" s="5" t="s">
        <v>39</v>
      </c>
      <c r="B17" s="5">
        <f>B15+F14</f>
        <v>454.204139066508</v>
      </c>
      <c r="C17" s="17">
        <f t="shared" ref="C17:C18" si="0">B17*(9/5)-459.67</f>
        <v>357.897450319715</v>
      </c>
      <c r="D17" s="2"/>
      <c r="E17" s="3"/>
      <c r="F17" s="3">
        <f>2*47</f>
        <v>94</v>
      </c>
      <c r="G17" s="3" t="s">
        <v>40</v>
      </c>
      <c r="H17" s="3"/>
      <c r="I17" s="3" t="s">
        <v>34</v>
      </c>
      <c r="J17" s="3">
        <f>(J16*1000*$J$10)/($F$8*$F$10)</f>
        <v>8894.44791883816</v>
      </c>
      <c r="K17" s="14">
        <f>(J10*1000*J15)/($F$8*$F$10)</f>
        <v>90.679255094664</v>
      </c>
      <c r="L17" s="14" t="s">
        <v>41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49.7" spans="1:25">
      <c r="A18" s="5" t="s">
        <v>42</v>
      </c>
      <c r="B18" s="5">
        <f>B16+F14</f>
        <v>363.459893048128</v>
      </c>
      <c r="C18" s="17">
        <f t="shared" si="0"/>
        <v>194.557807486631</v>
      </c>
      <c r="D18" s="2"/>
      <c r="E18" s="3"/>
      <c r="F18" s="3">
        <v>0.06</v>
      </c>
      <c r="G18" s="3" t="s">
        <v>43</v>
      </c>
      <c r="H18" s="3"/>
      <c r="I18" s="3" t="s">
        <v>37</v>
      </c>
      <c r="J18" s="3">
        <f>(J15*1000*$B$14)/($F$8*$F$10)</f>
        <v>34.004720660499</v>
      </c>
      <c r="K18" s="14">
        <f>J15*J10*1000/F8/F12</f>
        <v>31.015214737191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.4" spans="1:25">
      <c r="A19" s="3"/>
      <c r="B19" s="3"/>
      <c r="C19" s="3"/>
      <c r="D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.85" spans="1:25">
      <c r="A20" s="5" t="s">
        <v>44</v>
      </c>
      <c r="B20" s="5">
        <f>(B13)/(F17*(0.0254^2))</f>
        <v>242641.442729694</v>
      </c>
      <c r="C20" s="18">
        <v>305000</v>
      </c>
      <c r="D20" s="3"/>
      <c r="H20" s="3"/>
      <c r="J20" s="3"/>
      <c r="K20" s="3"/>
      <c r="M20" s="19" t="s">
        <v>45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49.7" spans="1:25">
      <c r="A21" s="3"/>
      <c r="B21" s="3">
        <f>B13/F18</f>
        <v>245250</v>
      </c>
      <c r="C21" s="3" t="s">
        <v>46</v>
      </c>
      <c r="D21" s="3"/>
      <c r="E21" s="3"/>
      <c r="F21" s="3"/>
      <c r="G21" s="3"/>
      <c r="H21" s="3"/>
      <c r="K21" s="3"/>
      <c r="L21" s="3" t="s">
        <v>47</v>
      </c>
      <c r="M21" s="14"/>
      <c r="N21" s="20" t="s">
        <v>48</v>
      </c>
      <c r="O21" s="14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.45" spans="1:25">
      <c r="A22" s="3"/>
      <c r="B22" s="3"/>
      <c r="C22" s="3"/>
      <c r="D22" s="3"/>
      <c r="E22" s="3"/>
      <c r="F22" s="3"/>
      <c r="G22" s="3"/>
      <c r="H22" s="3"/>
      <c r="L22" s="21"/>
      <c r="M22" s="14" t="s">
        <v>49</v>
      </c>
      <c r="N22" s="22">
        <f>J5</f>
        <v>1880.70929073645</v>
      </c>
      <c r="O22" s="14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.45" spans="1:25">
      <c r="A23" s="3"/>
      <c r="B23" s="3"/>
      <c r="C23" s="3"/>
      <c r="D23" s="3"/>
      <c r="E23" s="3"/>
      <c r="F23" s="3"/>
      <c r="G23" s="3"/>
      <c r="H23" s="3"/>
      <c r="L23" s="21"/>
      <c r="M23" s="14" t="s">
        <v>50</v>
      </c>
      <c r="N23" s="22">
        <f>J4</f>
        <v>781.971501270258</v>
      </c>
      <c r="O23" s="14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45" spans="1:25">
      <c r="A24" s="3" t="s">
        <v>51</v>
      </c>
      <c r="B24" s="3">
        <f>F6*9.81</f>
        <v>2759.42286734694</v>
      </c>
      <c r="C24" s="3" t="s">
        <v>52</v>
      </c>
      <c r="D24" s="3"/>
      <c r="E24" s="3"/>
      <c r="F24" s="3"/>
      <c r="G24" s="3"/>
      <c r="H24" s="3"/>
      <c r="L24" s="21"/>
      <c r="M24" s="23"/>
      <c r="N24" s="23"/>
      <c r="O24" s="2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45" spans="1:25">
      <c r="A25" s="3" t="s">
        <v>53</v>
      </c>
      <c r="B25" s="3">
        <f>B24*B4/F4</f>
        <v>962.361</v>
      </c>
      <c r="C25" s="3"/>
      <c r="D25" s="3"/>
      <c r="E25" s="3"/>
      <c r="F25" s="3"/>
      <c r="G25" s="3"/>
      <c r="H25" s="3"/>
      <c r="L25" s="21"/>
      <c r="M25" s="24" t="s">
        <v>54</v>
      </c>
      <c r="N25" s="23">
        <f>F4*(N34/N35)*SIN(RADIANS(J9))</f>
        <v>148.915273213784</v>
      </c>
      <c r="O25" s="14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.85" spans="1:25">
      <c r="A26" s="3" t="s">
        <v>55</v>
      </c>
      <c r="B26" s="3">
        <f>B25*0.8</f>
        <v>769.8888</v>
      </c>
      <c r="C26" s="3"/>
      <c r="D26" s="3"/>
      <c r="E26" s="3"/>
      <c r="F26" s="3"/>
      <c r="G26" s="3"/>
      <c r="H26" s="3"/>
      <c r="L26" s="21"/>
      <c r="M26" s="14" t="s">
        <v>56</v>
      </c>
      <c r="N26" s="23">
        <f>J11*N34/N35</f>
        <v>35.125158353531</v>
      </c>
      <c r="O26" s="14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45" spans="1:25">
      <c r="A27" s="3" t="s">
        <v>57</v>
      </c>
      <c r="B27" s="3">
        <f>B24-B25</f>
        <v>1797.06186734694</v>
      </c>
      <c r="C27" s="3"/>
      <c r="D27" s="3"/>
      <c r="E27" s="3"/>
      <c r="F27" s="3"/>
      <c r="G27" s="3"/>
      <c r="H27" s="3"/>
      <c r="L27" s="21"/>
      <c r="M27" s="23"/>
      <c r="N27" s="23"/>
      <c r="O27" s="2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45" spans="1:25">
      <c r="A28" s="3" t="s">
        <v>58</v>
      </c>
      <c r="B28" s="3">
        <f>B27/2</f>
        <v>898.530933673469</v>
      </c>
      <c r="C28" s="3"/>
      <c r="D28" s="3"/>
      <c r="E28" s="3"/>
      <c r="F28" s="3"/>
      <c r="G28" s="3"/>
      <c r="H28" s="3"/>
      <c r="L28" s="3"/>
      <c r="M28" s="24" t="s">
        <v>59</v>
      </c>
      <c r="N28" s="22">
        <f>N22+N25+N26</f>
        <v>2064.74972230377</v>
      </c>
      <c r="O28" s="14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4" spans="1:25">
      <c r="D29" s="3"/>
      <c r="E29" s="3"/>
      <c r="F29" s="3"/>
      <c r="G29" s="3"/>
      <c r="H29" s="3"/>
      <c r="I29" s="3"/>
      <c r="J29" s="3"/>
      <c r="K29" s="3"/>
      <c r="L29" s="3"/>
      <c r="M29" s="24" t="s">
        <v>60</v>
      </c>
      <c r="N29" s="25">
        <f>N23-N25-N26</f>
        <v>597.931069702943</v>
      </c>
      <c r="O29" s="2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4" spans="1:25">
      <c r="D30" s="3"/>
      <c r="E30" s="3"/>
      <c r="F30" s="3"/>
      <c r="G30" s="3"/>
      <c r="H30" s="3"/>
      <c r="I30" s="3"/>
      <c r="J30" s="3"/>
      <c r="K30" s="3"/>
      <c r="L30" s="3"/>
      <c r="M30" s="23"/>
      <c r="N30" s="23"/>
      <c r="O30" s="2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45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M31" s="24" t="s">
        <v>61</v>
      </c>
      <c r="N31" s="23">
        <f>1/(N28/(N28+N29))</f>
        <v>1.28959009571184</v>
      </c>
      <c r="O31" s="23"/>
      <c r="P31" s="14" t="s">
        <v>62</v>
      </c>
      <c r="Q31" s="22">
        <f>1/N31*100</f>
        <v>77.5440198653209</v>
      </c>
      <c r="R31" s="3"/>
      <c r="S31" s="3"/>
      <c r="T31" s="3"/>
      <c r="U31" s="3"/>
      <c r="V31" s="3"/>
      <c r="W31" s="3"/>
      <c r="X31" s="3"/>
      <c r="Y31" s="3"/>
    </row>
    <row r="32" ht="12.4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24" t="s">
        <v>63</v>
      </c>
      <c r="N32" s="23">
        <f>1/(N29/(N28+N29))</f>
        <v>4.45315677161508</v>
      </c>
      <c r="O32" s="23"/>
      <c r="P32" s="14"/>
      <c r="Q32" s="22">
        <f>100/N32</f>
        <v>22.4559801346791</v>
      </c>
      <c r="R32" s="3"/>
      <c r="S32" s="3"/>
      <c r="T32" s="3"/>
      <c r="U32" s="3"/>
      <c r="V32" s="3"/>
      <c r="W32" s="3"/>
      <c r="X32" s="3"/>
      <c r="Y32" s="3"/>
    </row>
    <row r="33" ht="12.4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23"/>
      <c r="N33" s="23"/>
      <c r="O33" s="2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45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14" t="s">
        <v>64</v>
      </c>
      <c r="N34" s="14">
        <v>0.48006</v>
      </c>
      <c r="O34" s="24" t="s">
        <v>65</v>
      </c>
      <c r="P34" s="3">
        <v>0.48006</v>
      </c>
      <c r="Q34" s="3"/>
      <c r="R34" s="3"/>
      <c r="S34" s="3"/>
      <c r="T34" s="3"/>
      <c r="U34" s="3"/>
      <c r="V34" s="3"/>
      <c r="W34" s="3"/>
      <c r="X34" s="3"/>
      <c r="Y34" s="3"/>
    </row>
    <row r="35" ht="39.75" customHeight="1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4" t="s">
        <v>66</v>
      </c>
      <c r="N35" s="26">
        <v>2.3</v>
      </c>
      <c r="O35" s="14" t="s">
        <v>67</v>
      </c>
      <c r="Q35" s="3"/>
      <c r="R35" s="3"/>
      <c r="S35" s="3"/>
      <c r="T35" s="3"/>
      <c r="U35" s="3"/>
      <c r="V35" s="3"/>
      <c r="W35" s="3"/>
      <c r="X35" s="3"/>
      <c r="Y35" s="3"/>
    </row>
    <row r="36" ht="12.4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4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4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4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4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4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4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4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4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4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4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4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4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4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4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4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4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4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4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4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4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4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4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4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4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4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4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4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4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4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4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4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4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4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4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4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4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4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4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4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4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4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4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4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4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4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4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4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4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4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4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4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4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4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4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4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4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4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4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4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4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4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4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4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4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4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4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4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4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4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4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4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4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4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4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4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4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4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4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4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4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4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4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4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4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4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4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4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4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4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4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4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4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4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4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4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4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4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4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4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4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4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4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4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4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4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4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4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4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4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4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4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4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4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4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4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4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4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4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4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4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4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4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4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4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4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4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4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4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4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4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4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4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4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4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4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4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4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4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4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4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4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4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4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4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4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4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4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4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4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4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4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4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4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4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4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4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4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4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4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4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4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4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4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4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4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4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4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4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4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4" spans="1: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4" spans="1: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4" spans="1: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4" spans="1: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4" spans="1: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4" spans="1: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4" spans="1: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4" spans="1: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4" spans="1: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4" spans="1: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4" spans="1: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4" spans="1: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4" spans="1: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4" spans="1: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4" spans="1: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4" spans="1: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4" spans="1: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4" spans="1: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4" spans="1: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4" spans="1: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4" spans="1: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4" spans="1: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4" spans="1: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4" spans="1: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4" spans="1: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4" spans="1: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4" spans="1: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4" spans="1: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4" spans="1: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4" spans="1: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4" spans="1: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4" spans="1: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4" spans="1: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4" spans="1: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4" spans="1: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4" spans="1: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4" spans="1: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4" spans="1: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4" spans="1: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4" spans="1: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4" spans="1: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4" spans="1: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4" spans="1: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4" spans="1: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4" spans="1: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4" spans="1: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4" spans="1: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4" spans="1: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4" spans="1: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4" spans="1: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4" spans="1: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4" spans="1: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4" spans="1: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4" spans="1: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4" spans="1: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4" spans="1: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4" spans="1: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4" spans="1: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4" spans="1: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4" spans="1: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4" spans="1: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4" spans="1: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4" spans="1: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4" spans="1: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4" spans="1: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4" spans="1: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4" spans="1: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4" spans="1: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4" spans="1: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4" spans="1: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4" spans="1: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4" spans="1: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4" spans="1: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4" spans="1: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4" spans="1: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4" spans="1: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4" spans="1: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4" spans="1: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4" spans="1: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4" spans="1: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4" spans="1: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4" spans="1: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4" spans="1: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4" spans="1: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4" spans="1: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4" spans="1: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4" spans="1: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4" spans="1: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4" spans="1: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4" spans="1: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4" spans="1: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4" spans="1: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4" spans="1: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4" spans="1: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4" spans="1: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4" spans="1: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4" spans="1: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4" spans="1: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4" spans="1: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4" spans="1: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4" spans="1: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4" spans="1: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4" spans="1: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4" spans="1: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4" spans="1: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4" spans="1: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4" spans="1: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4" spans="1: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4" spans="1: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4" spans="1: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4" spans="1: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4" spans="1: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4" spans="1: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4" spans="1: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4" spans="1: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4" spans="1: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4" spans="1: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4" spans="1: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4" spans="1: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4" spans="1: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4" spans="1: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4" spans="1: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4" spans="1: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4" spans="1: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4" spans="1: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4" spans="1: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4" spans="1: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4" spans="1: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4" spans="1: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4" spans="1: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4" spans="1: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4" spans="1: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4" spans="1: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4" spans="1: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4" spans="1: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4" spans="1: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4" spans="1: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4" spans="1: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4" spans="1: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4" spans="1: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4" spans="1: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4" spans="1: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4" spans="1: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4" spans="1: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4" spans="1: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4" spans="1: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4" spans="1: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4" spans="1: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4" spans="1: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4" spans="1: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4" spans="1: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4" spans="1: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4" spans="1: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4" spans="1: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4" spans="1: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4" spans="1: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4" spans="1: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4" spans="1: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4" spans="1: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4" spans="1: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4" spans="1: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4" spans="1: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4" spans="1: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4" spans="1: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4" spans="1: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4" spans="1: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4" spans="1: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4" spans="1: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4" spans="1: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4" spans="1: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4" spans="1: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4" spans="1: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4" spans="1: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4" spans="1: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4" spans="1: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4" spans="1: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4" spans="1: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4" spans="1: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4" spans="1: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4" spans="1: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4" spans="1: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4" spans="1: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4" spans="1: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4" spans="1: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4" spans="1: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4" spans="1: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4" spans="1: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4" spans="1: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4" spans="1: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4" spans="1: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4" spans="1: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4" spans="1: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4" spans="1: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4" spans="1: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4" spans="1: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4" spans="1: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4" spans="1: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4" spans="1: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4" spans="1: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4" spans="1: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4" spans="1: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4" spans="1: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4" spans="1: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4" spans="1: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4" spans="1: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4" spans="1: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4" spans="1: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4" spans="1: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4" spans="1: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4" spans="1: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4" spans="1: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4" spans="1: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4" spans="1: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4" spans="1: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4" spans="1: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4" spans="1: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4" spans="1: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4" spans="1: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4" spans="1: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4" spans="1: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4" spans="1: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4" spans="1: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4" spans="1: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4" spans="1: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4" spans="1: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4" spans="1: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4" spans="1: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4" spans="1: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4" spans="1: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4" spans="1: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4" spans="1: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4" spans="1: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4" spans="1: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4" spans="1: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4" spans="1: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4" spans="1: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4" spans="1: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4" spans="1: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4" spans="1: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4" spans="1: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4" spans="1: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4" spans="1: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4" spans="1: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4" spans="1: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4" spans="1: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4" spans="1: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4" spans="1: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4" spans="1: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4" spans="1: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4" spans="1: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4" spans="1: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4" spans="1: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4" spans="1: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4" spans="1: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4" spans="1: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4" spans="1: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4" spans="1: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4" spans="1: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4" spans="1: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4" spans="1: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4" spans="1: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4" spans="1: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4" spans="1: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4" spans="1: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4" spans="1: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4" spans="1: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4" spans="1: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4" spans="1: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4" spans="1: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4" spans="1: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4" spans="1: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4" spans="1: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4" spans="1: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4" spans="1: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4" spans="1: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4" spans="1: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4" spans="1: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4" spans="1: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4" spans="1: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4" spans="1: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4" spans="1: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4" spans="1: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4" spans="1: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4" spans="1: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4" spans="1: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4" spans="1: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4" spans="1: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4" spans="1: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4" spans="1: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4" spans="1: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4" spans="1: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4" spans="1: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4" spans="1: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4" spans="1: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4" spans="1: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4" spans="1: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4" spans="1: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4" spans="1: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4" spans="1: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4" spans="1: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4" spans="1: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4" spans="1: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4" spans="1: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4" spans="1: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4" spans="1: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4" spans="1: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4" spans="1: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4" spans="1: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4" spans="1: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4" spans="1: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4" spans="1: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4" spans="1: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4" spans="1: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4" spans="1: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4" spans="1: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4" spans="1: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4" spans="1: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4" spans="1: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4" spans="1: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4" spans="1: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4" spans="1: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4" spans="1: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4" spans="1: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4" spans="1: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4" spans="1: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4" spans="1: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4" spans="1: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4" spans="1: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4" spans="1: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4" spans="1: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4" spans="1: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4" spans="1: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4" spans="1: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4" spans="1: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4" spans="1: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4" spans="1: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4" spans="1: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4" spans="1: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4" spans="1: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4" spans="1: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4" spans="1: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4" spans="1: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4" spans="1: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4" spans="1: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4" spans="1: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4" spans="1: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4" spans="1: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4" spans="1: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4" spans="1: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4" spans="1: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4" spans="1: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4" spans="1: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4" spans="1: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4" spans="1: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4" spans="1: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4" spans="1: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4" spans="1: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4" spans="1: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4" spans="1: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4" spans="1: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4" spans="1: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4" spans="1: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4" spans="1: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4" spans="1: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4" spans="1: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4" spans="1: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4" spans="1: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4" spans="1: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4" spans="1: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4" spans="1: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4" spans="1: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4" spans="1: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4" spans="1: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4" spans="1: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4" spans="1: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4" spans="1: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4" spans="1: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4" spans="1: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4" spans="1: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4" spans="1: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4" spans="1: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4" spans="1: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4" spans="1: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4" spans="1: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4" spans="1: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4" spans="1: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4" spans="1: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4" spans="1: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4" spans="1: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4" spans="1: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4" spans="1: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4" spans="1: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4" spans="1: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4" spans="1: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4" spans="1: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4" spans="1: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4" spans="1: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4" spans="1: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4" spans="1: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4" spans="1: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4" spans="1: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4" spans="1: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4" spans="1: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4" spans="1: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4" spans="1: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4" spans="1: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4" spans="1: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4" spans="1: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4" spans="1: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4" spans="1: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4" spans="1: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4" spans="1: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4" spans="1: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4" spans="1: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4" spans="1: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4" spans="1: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4" spans="1: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4" spans="1: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4" spans="1: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4" spans="1: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4" spans="1: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4" spans="1: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4" spans="1: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4" spans="1: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4" spans="1: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4" spans="1: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4" spans="1: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4" spans="1: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4" spans="1: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4" spans="1: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4" spans="1: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4" spans="1: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4" spans="1: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4" spans="1: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4" spans="1: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4" spans="1: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4" spans="1: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4" spans="1: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4" spans="1: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4" spans="1: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4" spans="1: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4" spans="1: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4" spans="1: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4" spans="1: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4" spans="1: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4" spans="1: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4" spans="1: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4" spans="1: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4" spans="1: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4" spans="1: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4" spans="1: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4" spans="1: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4" spans="1: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4" spans="1: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4" spans="1: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4" spans="1: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4" spans="1: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4" spans="1: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4" spans="1: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4" spans="1: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4" spans="1: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4" spans="1: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4" spans="1: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4" spans="1: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4" spans="1: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4" spans="1: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4" spans="1: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4" spans="1: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4" spans="1: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4" spans="1: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4" spans="1: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4" spans="1: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4" spans="1: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4" spans="1: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4" spans="1: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4" spans="1: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4" spans="1: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4" spans="1: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4" spans="1: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4" spans="1: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4" spans="1: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4" spans="1: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4" spans="1: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4" spans="1: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4" spans="1: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4" spans="1: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4" spans="1: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4" spans="1: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4" spans="1: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4" spans="1: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4" spans="1: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4" spans="1: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4" spans="1: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4" spans="1: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4" spans="1: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4" spans="1: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4" spans="1: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4" spans="1: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4" spans="1: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4" spans="1: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4" spans="1: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4" spans="1: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4" spans="1: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4" spans="1: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4" spans="1: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4" spans="1: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4" spans="1: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4" spans="1: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4" spans="1: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4" spans="1: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4" spans="1: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4" spans="1: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4" spans="1: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4" spans="1: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4" spans="1: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4" spans="1: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4" spans="1: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4" spans="1: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4" spans="1: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4" spans="1: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4" spans="1: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4" spans="1: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4" spans="1: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4" spans="1: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4" spans="1: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4" spans="1: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4" spans="1: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4" spans="1: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4" spans="1: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4" spans="1: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4" spans="1: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4" spans="1: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4" spans="1: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4" spans="1: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4" spans="1: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4" spans="1: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4" spans="1: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4" spans="1: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4" spans="1: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4" spans="1: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4" spans="1: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4" spans="1: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4" spans="1: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4" spans="1: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4" spans="1: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4" spans="1: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4" spans="1: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4" spans="1: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4" spans="1: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4" spans="1: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4" spans="1: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4" spans="1: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4" spans="1: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4" spans="1: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4" spans="1: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4" spans="1: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4" spans="1: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4" spans="1: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4" spans="1: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4" spans="1: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4" spans="1: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4" spans="1: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4" spans="1: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4" spans="1: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4" spans="1: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4" spans="1: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4" spans="1: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4" spans="1: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4" spans="1: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4" spans="1: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4" spans="1: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4" spans="1: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4" spans="1: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4" spans="1: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4" spans="1: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4" spans="1: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4" spans="1: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4" spans="1: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4" spans="1: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4" spans="1: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4" spans="1: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4" spans="1: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4" spans="1: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4" spans="1: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4" spans="1: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4" spans="1: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4" spans="1: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4" spans="1: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4" spans="1: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4" spans="1: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4" spans="1: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4" spans="1: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4" spans="1: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4" spans="1: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4" spans="1: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4" spans="1: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4" spans="1: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4" spans="1: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4" spans="1: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4" spans="1: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4" spans="1: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4" spans="1: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4" spans="1: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4" spans="1: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4" spans="1: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4" spans="1: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4" spans="1: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4" spans="1: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4" spans="1: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4" spans="1: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4" spans="1: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4" spans="1: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4" spans="1: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4" spans="1: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4" spans="1: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4" spans="1: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4" spans="1: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4" spans="1: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4" spans="1: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4" spans="1: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4" spans="1: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4" spans="1: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4" spans="1: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4" spans="1: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4" spans="1: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4" spans="1: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4" spans="1: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4" spans="1: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4" spans="1: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4" spans="1: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4" spans="1: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4" spans="1: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4" spans="1: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4" spans="1: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4" spans="1: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4" spans="1: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4" spans="1: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4" spans="1: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4" spans="1: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4" spans="1: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4" spans="1: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4" spans="1: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4" spans="1: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4" spans="1: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4" spans="1: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4" spans="1: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4" spans="1: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4" spans="1: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4" spans="1: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4" spans="1: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4" spans="1: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4" spans="1: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4" spans="1: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4" spans="1: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4" spans="1: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4" spans="1: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4" spans="1: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4" spans="1: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4" spans="1: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4" spans="1: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4" spans="1: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4" spans="1: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4" spans="1: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4" spans="1: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4" spans="1: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4" spans="1: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4" spans="1: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4" spans="1: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4" spans="1: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4" spans="1: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4" spans="1: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4" spans="1: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4" spans="1: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4" spans="1: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4" spans="1: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4" spans="1: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4" spans="1: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4" spans="1: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4" spans="1: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4" spans="1: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4" spans="1: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4" spans="1: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4" spans="1: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4" spans="1: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4" spans="1: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4" spans="1: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4" spans="1: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4" spans="1: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4" spans="1: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4" spans="1: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4" spans="1: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4" spans="1: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4" spans="1: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4" spans="1: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4" spans="1: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4" spans="1: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4" spans="1: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4" spans="1: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4" spans="1: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4" spans="1: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4" spans="1: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4" spans="1: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4" spans="1: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4" spans="1: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4" spans="1: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4" spans="1: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4" spans="1: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4" spans="1: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4" spans="1: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4" spans="1: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4" spans="1: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4" spans="1: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4" spans="1: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4" spans="1: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4" spans="1: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4" spans="1: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4" spans="1: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4" spans="1: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4" spans="1: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4" spans="1: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4" spans="1: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4" spans="1: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4" spans="1: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4" spans="1: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4" spans="1: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4" spans="1: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4" spans="1: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4" spans="1: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4" spans="1: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4" spans="1: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4" spans="1: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4" spans="1: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4" spans="1: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4" spans="1: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4" spans="1: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4" spans="1: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4" spans="1: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4" spans="1: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4" spans="1: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4" spans="1: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4" spans="1: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4" spans="1: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4" spans="1: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4" spans="1: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4" spans="1: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4" spans="1: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4" spans="1: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4" spans="1: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4" spans="1: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4" spans="1: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4" spans="1: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4" spans="1: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4" spans="1: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4" spans="1: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4" spans="1: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4" spans="1: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4" spans="1: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4" spans="1: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4" spans="1: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4" spans="1: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4" spans="1: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4" spans="1: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4" spans="1: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4" spans="1: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4" spans="1: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4" spans="1: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4" spans="1: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4" spans="1: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4" spans="1: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4" spans="1: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4" spans="1: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4" spans="1: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4" spans="1: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4" spans="1: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4" spans="1: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4" spans="1: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4" spans="1: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4" spans="1: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4" spans="1: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4" spans="1: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2.4" spans="1: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2.4" spans="1: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ht="12.4" spans="1: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</sheetData>
  <mergeCells count="2">
    <mergeCell ref="M20:O20"/>
    <mergeCell ref="P34:P3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Tovi Ding</cp:lastModifiedBy>
  <dcterms:created xsi:type="dcterms:W3CDTF">2026-08-25T01:36:32Z</dcterms:created>
  <dcterms:modified xsi:type="dcterms:W3CDTF">2026-08-25T01:37:07Z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82CC4A1A9E9C4BFAB3CB7B2E3F1D6746_12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